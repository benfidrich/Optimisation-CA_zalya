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Ventes" sheetId="1" state="visible" r:id="rId3"/>
    <sheet name="Services-Produits" sheetId="2" state="visible" r:id="rId4"/>
    <sheet name="Répertoire clients" sheetId="3" state="visible" r:id="rId5"/>
    <sheet name="Dévis et bon de commande" sheetId="4" state="visible" r:id="rId6"/>
    <sheet name="operations " sheetId="5" state="visible" r:id="rId7"/>
  </sheets>
  <externalReferences>
    <externalReference r:id="rId8"/>
  </externalReferences>
  <definedNames>
    <definedName function="false" hidden="true" localSheetId="3" name="_xlnm._FilterDatabase" vbProcedure="false">'Dévis et bon de commande'!$A$1:$G$29</definedName>
    <definedName function="false" hidden="true" localSheetId="4" name="_xlnm._FilterDatabase" vbProcedure="false">'operations '!$A$1:$H$75</definedName>
    <definedName function="false" hidden="false" name="ASDI" vbProcedure="false">#REF!</definedName>
    <definedName function="false" hidden="false" name="ASDI2" vbProcedure="false">#REF!</definedName>
    <definedName function="false" hidden="false" name="autresretenues" vbProcedure="false">'[1]AJOUT DES PRIMES'!$D$1:$D$1048576</definedName>
    <definedName function="false" hidden="false" name="BASEDEDONNEES" vbProcedure="false">#REF!</definedName>
    <definedName function="false" hidden="false" name="basededonnéesbulletins" vbProcedure="false">OFFSET(#REF!,,,COUNTA(#REF!)-1,COUNTA(#REF!))</definedName>
    <definedName function="false" hidden="false" name="Basededonéésfinal" vbProcedure="false">#REF!</definedName>
    <definedName function="false" hidden="false" name="CA" vbProcedure="false">[1]FACTURIER!$R$10:$R$12</definedName>
    <definedName function="false" hidden="false" name="cad" vbProcedure="false">#REF!</definedName>
    <definedName function="false" hidden="false" name="calculateurdedonnésbulletins" vbProcedure="false">OFFSET(#REF!,,,COUNTA(#REF!)-1,COUNTA(#REF!))</definedName>
    <definedName function="false" hidden="false" name="CCA" vbProcedure="false">#REF!</definedName>
    <definedName function="false" hidden="false" name="CCC" vbProcedure="false">[1]POINTAGE!$B$1:$B$6</definedName>
    <definedName function="false" hidden="false" name="centimeadditionnel" vbProcedure="false">[1]tva!#ref!</definedName>
    <definedName function="false" hidden="false" name="centimenet" vbProcedure="false">[1]tva!#ref!</definedName>
    <definedName function="false" hidden="false" name="creditreporté" vbProcedure="false">[1]tva!#ref!</definedName>
    <definedName function="false" hidden="false" name="DHL_GLOBAL_FORW._SENEGAL" vbProcedure="false">#REF!</definedName>
    <definedName function="false" hidden="false" name="gestionnairetva" vbProcedure="false">[1]TVA!$A$1:$N$14</definedName>
    <definedName function="false" hidden="false" name="HEURESUPPLEMENTAIRE" vbProcedure="false">'[1]AJOUT DES PRIMES'!$E$1:$E$1048576</definedName>
    <definedName function="false" hidden="false" name="listeCMVD" vbProcedure="false">[1]!TCMVD[cmvd]</definedName>
    <definedName function="false" hidden="false" name="listenature" vbProcedure="false">[1]!TNATURE[nature]</definedName>
    <definedName function="false" hidden="false" name="LISTEPART" vbProcedure="false">[1]!TPART[part]</definedName>
    <definedName function="false" hidden="false" name="listeposte" vbProcedure="false">[1]!TPOSTE[poste]</definedName>
    <definedName function="false" hidden="false" name="LISTEPRIMENONIMPOSABLE" vbProcedure="false">#REF!</definedName>
    <definedName function="false" hidden="false" name="LISTEPRIMESIMPOSABLE" vbProcedure="false">#REF!</definedName>
    <definedName function="false" hidden="false" name="LISTERETENUES" vbProcedure="false">#REF!</definedName>
    <definedName function="false" hidden="false" name="listesexe" vbProcedure="false">[1]!TSEXE[sexe]</definedName>
    <definedName function="false" hidden="false" name="LO" vbProcedure="false">[1]PAR!$A$1:$A$12</definedName>
    <definedName function="false" hidden="false" name="MINIMUM" vbProcedure="false">#REF!</definedName>
    <definedName function="false" hidden="false" name="MODE" vbProcedure="false">#REF!</definedName>
    <definedName function="false" hidden="false" name="MODE1" vbProcedure="false">[1]pointage!#ref!</definedName>
    <definedName function="false" hidden="false" name="MOIS" vbProcedure="false">[1]TVA!$A$1:$A$1048576</definedName>
    <definedName function="false" hidden="false" name="NOMSETPRENOMS" vbProcedure="false">OFFSET(#REF!,,,COUNTA(#REF!)-1)</definedName>
    <definedName function="false" hidden="false" name="primesimposables" vbProcedure="false">'[1]AJOUT DES PRIMES'!$B$1:$B$1048576</definedName>
    <definedName function="false" hidden="false" name="primesnonimposable" vbProcedure="false">'[1]AJOUT DES PRIMES'!$C$1:$C$1048576</definedName>
    <definedName function="false" hidden="false" name="RAISONSOCIALE" vbProcedure="false">[1]tva!#ref!</definedName>
    <definedName function="false" hidden="false" name="ref" vbProcedure="false">#REF!</definedName>
    <definedName function="false" hidden="false" name="reference" vbProcedure="false">#REF!</definedName>
    <definedName function="false" hidden="false" name="totalchiffredaffaire" vbProcedure="false">[1]tva!#ref!</definedName>
    <definedName function="false" hidden="false" name="totaldesdeductions" vbProcedure="false">[1]tva!#ref!</definedName>
    <definedName function="false" hidden="false" name="totaltvadeductible" vbProcedure="false">[1]tva!#ref!</definedName>
    <definedName function="false" hidden="false" name="TTAX" vbProcedure="false">#REF!</definedName>
    <definedName function="false" hidden="false" name="TTVA" vbProcedure="false">#REF!</definedName>
    <definedName function="false" hidden="false" name="TVA" vbProcedure="false">[1]FACTURIER!$Q$10:$Q$12</definedName>
    <definedName function="false" hidden="false" name="tvabrute" vbProcedure="false">[1]tva!#ref!</definedName>
    <definedName function="false" hidden="false" name="tvabrute2" vbProcedure="false">[1]tva!#ref!</definedName>
    <definedName function="false" hidden="false" name="tvadeductible" vbProcedure="false">[1]tva!#ref!</definedName>
    <definedName function="false" hidden="false" name="tvanetàpayer" vbProcedure="false">[1]tva!#ref!</definedName>
    <definedName function="false" hidden="false" name="TVAT" vbProcedure="false">#REF!</definedName>
    <definedName function="false" hidden="false" name="tvaàdeduire" vbProcedure="false">[1]tva!#ref!</definedName>
    <definedName function="false" hidden="false" name="vir" vbProcedure="false">'[1]BULLETIN '!$O$5:$O$7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<sst xmlns="http://schemas.openxmlformats.org/spreadsheetml/2006/main" count="475" uniqueCount="235">
  <si>
    <t xml:space="preserve">Service</t>
  </si>
  <si>
    <t xml:space="preserve">Date de Facture</t>
  </si>
  <si>
    <t xml:space="preserve">Date d'écheance</t>
  </si>
  <si>
    <t xml:space="preserve">N° Facture</t>
  </si>
  <si>
    <t xml:space="preserve">Client (s)</t>
  </si>
  <si>
    <t xml:space="preserve">Montant HT</t>
  </si>
  <si>
    <t xml:space="preserve">TVA</t>
  </si>
  <si>
    <t xml:space="preserve">CA</t>
  </si>
  <si>
    <t xml:space="preserve">Montant TTC</t>
  </si>
  <si>
    <t xml:space="preserve">Date paiement</t>
  </si>
  <si>
    <t xml:space="preserve">Mode paiement</t>
  </si>
  <si>
    <t xml:space="preserve">Statut</t>
  </si>
  <si>
    <t xml:space="preserve">Communication</t>
  </si>
  <si>
    <t xml:space="preserve">INV/2026/00008</t>
  </si>
  <si>
    <t xml:space="preserve">Moussa YARA</t>
  </si>
  <si>
    <t xml:space="preserve">Espèces</t>
  </si>
  <si>
    <t xml:space="preserve">Payé</t>
  </si>
  <si>
    <t xml:space="preserve">INV/2026/00015</t>
  </si>
  <si>
    <t xml:space="preserve">Importation</t>
  </si>
  <si>
    <t xml:space="preserve">INV/2026/00005</t>
  </si>
  <si>
    <t xml:space="preserve">Desmon Esperith KIBINDA</t>
  </si>
  <si>
    <t xml:space="preserve">importation </t>
  </si>
  <si>
    <t xml:space="preserve">INV/2026/00014</t>
  </si>
  <si>
    <t xml:space="preserve">Imprimerie</t>
  </si>
  <si>
    <t xml:space="preserve">INV/2026/00007</t>
  </si>
  <si>
    <t xml:space="preserve">Centre médical la Colombe</t>
  </si>
  <si>
    <t xml:space="preserve">INV/2026/00006</t>
  </si>
  <si>
    <t xml:space="preserve">INV/2026/00004</t>
  </si>
  <si>
    <t xml:space="preserve">WILLIS TOWERS WATSON</t>
  </si>
  <si>
    <t xml:space="preserve">Chèque</t>
  </si>
  <si>
    <t xml:space="preserve">INV/2026/00003</t>
  </si>
  <si>
    <t xml:space="preserve">Non payé</t>
  </si>
  <si>
    <t xml:space="preserve">INV/2026/00002</t>
  </si>
  <si>
    <t xml:space="preserve">INV/2026/00001</t>
  </si>
  <si>
    <t xml:space="preserve">INV/2026/00009</t>
  </si>
  <si>
    <t xml:space="preserve">Gracia IKOUADJA</t>
  </si>
  <si>
    <t xml:space="preserve">INV/2026/00010</t>
  </si>
  <si>
    <t xml:space="preserve">KWIZA Beach</t>
  </si>
  <si>
    <t xml:space="preserve">INV/2026/00011</t>
  </si>
  <si>
    <t xml:space="preserve">INV/2026/00012</t>
  </si>
  <si>
    <t xml:space="preserve">INV/2026/00013</t>
  </si>
  <si>
    <t xml:space="preserve">Prince KOUBAKA</t>
  </si>
  <si>
    <t xml:space="preserve">N°</t>
  </si>
  <si>
    <t xml:space="preserve">Produits /Services</t>
  </si>
  <si>
    <t xml:space="preserve">Conception web</t>
  </si>
  <si>
    <t xml:space="preserve">Développement plateformes ou logiciels</t>
  </si>
  <si>
    <t xml:space="preserve">Communication digitale</t>
  </si>
  <si>
    <t xml:space="preserve">Imporation</t>
  </si>
  <si>
    <t xml:space="preserve">Gestion et vente des biens</t>
  </si>
  <si>
    <t xml:space="preserve">Prestations industrielles ( climatisation et froid, maintenance industrielle, peinture,l'électricité)</t>
  </si>
  <si>
    <t xml:space="preserve">Mise à disposition du personnel</t>
  </si>
  <si>
    <t xml:space="preserve">Gestion de sécurité</t>
  </si>
  <si>
    <t xml:space="preserve">Formation présentiel et en ligne</t>
  </si>
  <si>
    <t xml:space="preserve">Clients</t>
  </si>
  <si>
    <t xml:space="preserve">E-mail</t>
  </si>
  <si>
    <t xml:space="preserve"> Téléphone</t>
  </si>
  <si>
    <t xml:space="preserve">Adresse </t>
  </si>
  <si>
    <t xml:space="preserve">moussayara2004@gmail.com</t>
  </si>
  <si>
    <t xml:space="preserve">05 640 27 27</t>
  </si>
  <si>
    <t xml:space="preserve">Grand marché</t>
  </si>
  <si>
    <t xml:space="preserve">Case du parti Mvoumvou</t>
  </si>
  <si>
    <t xml:space="preserve">kibindaesperith@gmail.com</t>
  </si>
  <si>
    <t xml:space="preserve">05 598 24 32</t>
  </si>
  <si>
    <t xml:space="preserve">Makayabou Ngofo</t>
  </si>
  <si>
    <t xml:space="preserve">thierry-robert.nsikou@wtwco.com</t>
  </si>
  <si>
    <t xml:space="preserve">06 663 85 25</t>
  </si>
  <si>
    <t xml:space="preserve">Avenue Charles de Gaulles, Centre-Ville</t>
  </si>
  <si>
    <t xml:space="preserve">gracia.ikouadja@wtwco.com</t>
  </si>
  <si>
    <t xml:space="preserve">05 207 49 45</t>
  </si>
  <si>
    <t xml:space="preserve">06 801 70 49</t>
  </si>
  <si>
    <t xml:space="preserve">Zone cotière, Centre-Ville</t>
  </si>
  <si>
    <t xml:space="preserve">Tchibamba</t>
  </si>
  <si>
    <t xml:space="preserve">Référence commande</t>
  </si>
  <si>
    <t xml:space="preserve">Date de création</t>
  </si>
  <si>
    <t xml:space="preserve">Client</t>
  </si>
  <si>
    <t xml:space="preserve">Vendeur</t>
  </si>
  <si>
    <t xml:space="preserve">Activités</t>
  </si>
  <si>
    <t xml:space="preserve">Total</t>
  </si>
  <si>
    <t xml:space="preserve">S00027</t>
  </si>
  <si>
    <t xml:space="preserve">Gracia Ikouadja</t>
  </si>
  <si>
    <t xml:space="preserve">Prince NGOMA</t>
  </si>
  <si>
    <t xml:space="preserve">Commande client</t>
  </si>
  <si>
    <t xml:space="preserve">S00028</t>
  </si>
  <si>
    <t xml:space="preserve">Paola MAPAGA</t>
  </si>
  <si>
    <t xml:space="preserve">S00022</t>
  </si>
  <si>
    <t xml:space="preserve">Particulier, Desmon Esperith KIBINDA</t>
  </si>
  <si>
    <t xml:space="preserve">S00026</t>
  </si>
  <si>
    <t xml:space="preserve">ZEUS Lounge Bar</t>
  </si>
  <si>
    <t xml:space="preserve">Devis</t>
  </si>
  <si>
    <t xml:space="preserve">S00025</t>
  </si>
  <si>
    <t xml:space="preserve">S00024</t>
  </si>
  <si>
    <t xml:space="preserve">MELKI</t>
  </si>
  <si>
    <t xml:space="preserve">S00023</t>
  </si>
  <si>
    <t xml:space="preserve">S00021</t>
  </si>
  <si>
    <t xml:space="preserve">SL PRODUCTION, Mr Caustodel</t>
  </si>
  <si>
    <t xml:space="preserve">S00020</t>
  </si>
  <si>
    <t xml:space="preserve">Doxa Consulting</t>
  </si>
  <si>
    <t xml:space="preserve">S00019</t>
  </si>
  <si>
    <t xml:space="preserve">S00018</t>
  </si>
  <si>
    <t xml:space="preserve">KWIZA BEACH PNR, Rovick MASSALA</t>
  </si>
  <si>
    <t xml:space="preserve">S00011</t>
  </si>
  <si>
    <t xml:space="preserve">KWIZA BEACH PNR</t>
  </si>
  <si>
    <t xml:space="preserve">S00017</t>
  </si>
  <si>
    <t xml:space="preserve">S00009</t>
  </si>
  <si>
    <t xml:space="preserve">S00010</t>
  </si>
  <si>
    <t xml:space="preserve">AVENIR PLUS, Moussa YARA</t>
  </si>
  <si>
    <t xml:space="preserve">S00016</t>
  </si>
  <si>
    <t xml:space="preserve">MANAGEMENT ORGANISATIONNEL</t>
  </si>
  <si>
    <t xml:space="preserve">S00015</t>
  </si>
  <si>
    <t xml:space="preserve">Mr BOUKAKA</t>
  </si>
  <si>
    <t xml:space="preserve">S00014</t>
  </si>
  <si>
    <t xml:space="preserve">SL PRODUCTION</t>
  </si>
  <si>
    <t xml:space="preserve">S00013</t>
  </si>
  <si>
    <t xml:space="preserve">ETS KGF</t>
  </si>
  <si>
    <t xml:space="preserve">S00012</t>
  </si>
  <si>
    <t xml:space="preserve">NDT TECH SOLUTIONS</t>
  </si>
  <si>
    <t xml:space="preserve">S00008</t>
  </si>
  <si>
    <t xml:space="preserve">EMERAUDE SANTE ASSURANCES ET REASSURANCES CONGO</t>
  </si>
  <si>
    <t xml:space="preserve">S00007</t>
  </si>
  <si>
    <t xml:space="preserve">S00006</t>
  </si>
  <si>
    <t xml:space="preserve">S00005</t>
  </si>
  <si>
    <t xml:space="preserve">Desmon KIBINDA</t>
  </si>
  <si>
    <t xml:space="preserve">S00004</t>
  </si>
  <si>
    <t xml:space="preserve">S00003</t>
  </si>
  <si>
    <t xml:space="preserve">S00002</t>
  </si>
  <si>
    <t xml:space="preserve">S00001</t>
  </si>
  <si>
    <t xml:space="preserve">Description</t>
  </si>
  <si>
    <t xml:space="preserve">Bénéficiaire</t>
  </si>
  <si>
    <t xml:space="preserve">Fourniture bureau</t>
  </si>
  <si>
    <t xml:space="preserve">Achat perforateur</t>
  </si>
  <si>
    <t xml:space="preserve">HS SOLUTIONS</t>
  </si>
  <si>
    <t xml:space="preserve">Achat Amoire réception</t>
  </si>
  <si>
    <t xml:space="preserve">AGS ELECTRO</t>
  </si>
  <si>
    <t xml:space="preserve">Achat chaise</t>
  </si>
  <si>
    <t xml:space="preserve">AVENIR PLUS</t>
  </si>
  <si>
    <t xml:space="preserve">Achat tirroir</t>
  </si>
  <si>
    <t xml:space="preserve">ETS YC</t>
  </si>
  <si>
    <t xml:space="preserve">Internet</t>
  </si>
  <si>
    <t xml:space="preserve">Abonnement mois de janvier</t>
  </si>
  <si>
    <t xml:space="preserve">congo telecom</t>
  </si>
  <si>
    <t xml:space="preserve">achat eau et poubelle</t>
  </si>
  <si>
    <t xml:space="preserve">Loyer</t>
  </si>
  <si>
    <t xml:space="preserve">Loyer du mois de décembre</t>
  </si>
  <si>
    <t xml:space="preserve">OCKOUMOU Bettina</t>
  </si>
  <si>
    <t xml:space="preserve">Achat fournitures de bureau</t>
  </si>
  <si>
    <t xml:space="preserve">BUROSHOP</t>
  </si>
  <si>
    <t xml:space="preserve">Transport </t>
  </si>
  <si>
    <t xml:space="preserve">frais de transport</t>
  </si>
  <si>
    <t xml:space="preserve">Frais de transport</t>
  </si>
  <si>
    <t xml:space="preserve">Sponsoring page</t>
  </si>
  <si>
    <t xml:space="preserve">BUROTEC</t>
  </si>
  <si>
    <t xml:space="preserve">JAKANE</t>
  </si>
  <si>
    <t xml:space="preserve">Franprix</t>
  </si>
  <si>
    <t xml:space="preserve">Autres achats</t>
  </si>
  <si>
    <t xml:space="preserve">Achat buffet</t>
  </si>
  <si>
    <t xml:space="preserve">EDEN EVENTS</t>
  </si>
  <si>
    <t xml:space="preserve">Achat carburant</t>
  </si>
  <si>
    <t xml:space="preserve">TotalEnergies</t>
  </si>
  <si>
    <t xml:space="preserve">Achat cadenas</t>
  </si>
  <si>
    <t xml:space="preserve">ETS BA </t>
  </si>
  <si>
    <t xml:space="preserve">Bonbonne d'eau</t>
  </si>
  <si>
    <t xml:space="preserve">GRAND CHERIF</t>
  </si>
  <si>
    <t xml:space="preserve">Frais de transport </t>
  </si>
  <si>
    <t xml:space="preserve">Frais de comm mois de février</t>
  </si>
  <si>
    <t xml:space="preserve">Airtel Congo</t>
  </si>
  <si>
    <t xml:space="preserve">Achat d'eau</t>
  </si>
  <si>
    <t xml:space="preserve">Travaux maintenance</t>
  </si>
  <si>
    <t xml:space="preserve">frais de shipping matériels</t>
  </si>
  <si>
    <t xml:space="preserve">PETIT KOUMA</t>
  </si>
  <si>
    <t xml:space="preserve">Frais de transport pour le retrait du colis</t>
  </si>
  <si>
    <t xml:space="preserve">Frais shipping du traceur transport et manutention</t>
  </si>
  <si>
    <t xml:space="preserve">IMBIELLA Cety</t>
  </si>
  <si>
    <t xml:space="preserve">Ration pour installation traceur  </t>
  </si>
  <si>
    <t xml:space="preserve">internet</t>
  </si>
  <si>
    <t xml:space="preserve">Abonnement mois de Févier</t>
  </si>
  <si>
    <t xml:space="preserve">Versement carte prepayé</t>
  </si>
  <si>
    <t xml:space="preserve">ECOBANK</t>
  </si>
  <si>
    <t xml:space="preserve">Acompte traceur</t>
  </si>
  <si>
    <t xml:space="preserve">Charges personnel</t>
  </si>
  <si>
    <t xml:space="preserve">Paie du mois de janvier</t>
  </si>
  <si>
    <t xml:space="preserve">Jessy Bounda</t>
  </si>
  <si>
    <t xml:space="preserve">Manutention et transport traceur</t>
  </si>
  <si>
    <t xml:space="preserve">ONGOTO Christopher</t>
  </si>
  <si>
    <t xml:space="preserve">Achat repas</t>
  </si>
  <si>
    <t xml:space="preserve">Franxprix</t>
  </si>
  <si>
    <t xml:space="preserve">Achat jus</t>
  </si>
  <si>
    <t xml:space="preserve">Achat bloc notes</t>
  </si>
  <si>
    <t xml:space="preserve">Achat bache</t>
  </si>
  <si>
    <t xml:space="preserve">ETS BATHILY</t>
  </si>
  <si>
    <t xml:space="preserve">Loyer du mois de janvier</t>
  </si>
  <si>
    <t xml:space="preserve">Frais de prestation janvier</t>
  </si>
  <si>
    <t xml:space="preserve">NGOMA Tecia</t>
  </si>
  <si>
    <t xml:space="preserve">Achat fourniture</t>
  </si>
  <si>
    <t xml:space="preserve">ETS ANG</t>
  </si>
  <si>
    <t xml:space="preserve">Achat fournitures impression</t>
  </si>
  <si>
    <t xml:space="preserve">Achat casquette</t>
  </si>
  <si>
    <t xml:space="preserve">CARREFOUR SAPE</t>
  </si>
  <si>
    <t xml:space="preserve">Achat tee shirt</t>
  </si>
  <si>
    <t xml:space="preserve">ETS BDF</t>
  </si>
  <si>
    <t xml:space="preserve">Achat agenda</t>
  </si>
  <si>
    <t xml:space="preserve">regal</t>
  </si>
  <si>
    <t xml:space="preserve">Electricité</t>
  </si>
  <si>
    <t xml:space="preserve">Abonnement electricité jan-février</t>
  </si>
  <si>
    <t xml:space="preserve">E2C</t>
  </si>
  <si>
    <t xml:space="preserve">Achat casquettes</t>
  </si>
  <si>
    <t xml:space="preserve">Achat deux tapis souris</t>
  </si>
  <si>
    <t xml:space="preserve">Sponsoring page Yara</t>
  </si>
  <si>
    <t xml:space="preserve">Achat chargeur</t>
  </si>
  <si>
    <t xml:space="preserve">ETS DB</t>
  </si>
  <si>
    <t xml:space="preserve">Achat papier</t>
  </si>
  <si>
    <t xml:space="preserve">ETS YORO</t>
  </si>
  <si>
    <t xml:space="preserve">Frais de tranport</t>
  </si>
  <si>
    <t xml:space="preserve">jessy bounda</t>
  </si>
  <si>
    <t xml:space="preserve">Achat élévateur</t>
  </si>
  <si>
    <t xml:space="preserve">Versement sur la carte ecobank</t>
  </si>
  <si>
    <t xml:space="preserve">ecobank</t>
  </si>
  <si>
    <t xml:space="preserve">Frais de tranport course administrative</t>
  </si>
  <si>
    <t xml:space="preserve">Travaux </t>
  </si>
  <si>
    <t xml:space="preserve">Frais de reparation du groupe </t>
  </si>
  <si>
    <t xml:space="preserve">Electricien</t>
  </si>
  <si>
    <t xml:space="preserve">Achat d'eau </t>
  </si>
  <si>
    <t xml:space="preserve">GOMA Tecia</t>
  </si>
  <si>
    <t xml:space="preserve">Paie de salaire fevrier</t>
  </si>
  <si>
    <t xml:space="preserve">Loyer </t>
  </si>
  <si>
    <t xml:space="preserve">Loyer fevrier</t>
  </si>
  <si>
    <t xml:space="preserve">Frais de tranport depot de d'offre de services </t>
  </si>
  <si>
    <t xml:space="preserve">Jessy bounda</t>
  </si>
  <si>
    <t xml:space="preserve">Abonnement mois de mars</t>
  </si>
  <si>
    <t xml:space="preserve">Prestataire</t>
  </si>
  <si>
    <t xml:space="preserve">Frais de prestation février</t>
  </si>
  <si>
    <t xml:space="preserve">Frais de tranport pour UTPPE</t>
  </si>
  <si>
    <t xml:space="preserve">Frais de maintenance installation logiciels</t>
  </si>
  <si>
    <t xml:space="preserve">Désir KOUSSAFOULA</t>
  </si>
  <si>
    <t xml:space="preserve">Frais de tranport pour l'agent E2C</t>
  </si>
  <si>
    <t xml:space="preserve">Achat  bobonnes d'eau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</si>
</sst>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_-* #,##0.00_-;\-* #,##0.00_-;_-* \-??_-;_-@_-"/>
    <numFmt numFmtId="167" formatCode="_-* #,##0_-;\-* #,##0_-;_-* \-??_-;_-@_-"/>
    <numFmt numFmtId="168" formatCode="#,##0"/>
    <numFmt numFmtId="169" formatCode="#,##0.00"/>
    <numFmt numFmtId="170" formatCode="0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Century Gothic"/>
      <family val="2"/>
      <charset val="1"/>
    </font>
    <font>
      <sz val="9"/>
      <color theme="1"/>
      <name val="Aptos Narrow"/>
      <family val="2"/>
      <charset val="1"/>
    </font>
    <font>
      <sz val="9"/>
      <color theme="1"/>
      <name val="Century Gothic"/>
      <family val="2"/>
      <charset val="1"/>
    </font>
    <font>
      <sz val="10"/>
      <color theme="1"/>
      <name val="Century Gothic"/>
      <family val="2"/>
      <charset val="1"/>
    </font>
    <font>
      <b val="true"/>
      <sz val="10"/>
      <color theme="1"/>
      <name val="Century Gothic"/>
      <family val="2"/>
      <charset val="1"/>
    </font>
    <font>
      <sz val="11"/>
      <color theme="1"/>
      <name val="Century Gothic"/>
      <family val="2"/>
      <charset val="1"/>
    </font>
    <font>
      <u val="single"/>
      <sz val="10"/>
      <color theme="10"/>
      <name val="Century Gothic"/>
      <family val="2"/>
      <charset val="1"/>
    </font>
    <font>
      <u val="single"/>
      <sz val="11"/>
      <color theme="1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9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2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dxfs count="13">
    <dxf>
      <font>
        <b val="0"/>
        <i val="0"/>
      </font>
      <fill>
        <patternFill>
          <bgColor rgb="FFFF0000"/>
        </patternFill>
      </fill>
    </dxf>
    <dxf>
      <font>
        <b val="0"/>
        <i val="0"/>
        <color rgb="FF000000"/>
      </font>
      <fill>
        <patternFill>
          <bgColor theme="6" tint="0.3999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4F15"/>
          <bgColor rgb="FF000000"/>
        </patternFill>
      </fill>
    </dxf>
    <dxf>
      <font>
        <color rgb="FFFF0000"/>
      </font>
    </dxf>
    <dxf>
      <font>
        <color rgb="FF0070C0"/>
      </font>
    </dxf>
    <dxf>
      <font>
        <color rgb="FFD86ECC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C04F15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86ECC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7D45A"/>
      <rgbColor rgb="FF99CC00"/>
      <rgbColor rgb="FFFFC000"/>
      <rgbColor rgb="FFFF9900"/>
      <rgbColor rgb="FFFF6600"/>
      <rgbColor rgb="FF467886"/>
      <rgbColor rgb="FF969696"/>
      <rgbColor rgb="FF003366"/>
      <rgbColor rgb="FF00B050"/>
      <rgbColor rgb="FF003300"/>
      <rgbColor rgb="FF333300"/>
      <rgbColor rgb="FFC04F1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IFT%20DESIGN/Downloads/https:/amtechexpertises-my.sharepoint.com/personal/secretariat_amtechexpertises_com/Documents/AUTRES/DECLARATION%20NOVEMBRE%20%202021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CUEIL"/>
      <sheetName val="PRESENTATION "/>
      <sheetName val="CREATION OUVERTURE "/>
      <sheetName val="TABLEAUX DE BORD"/>
      <sheetName val="source"/>
      <sheetName val="POINTAGE"/>
      <sheetName val="H SUPP"/>
      <sheetName val="PAR"/>
      <sheetName val="Parametre 1"/>
      <sheetName val="parametre"/>
      <sheetName val="BULLETIN "/>
      <sheetName val="GRILLE SALARIALE"/>
      <sheetName val="AJOUT DES PRIMES"/>
      <sheetName val="DECLARATIONNOMINATIVE"/>
      <sheetName val="FICHE DE RECOUVREMENT"/>
      <sheetName val="REGULARISATION CHARGE "/>
      <sheetName val="TVA"/>
      <sheetName val="DECLARATION TVA"/>
      <sheetName val="FACTURIER"/>
      <sheetName val="DEVIS"/>
      <sheetName val="rapprochement bancaire 1"/>
      <sheetName val="Rapprochement bancaire 2"/>
      <sheetName val="DECLARATION NOVEMBRE  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moussayara2004@gmail.com" TargetMode="External"/><Relationship Id="rId2" Type="http://schemas.openxmlformats.org/officeDocument/2006/relationships/hyperlink" Target="mailto:kibindaesperith@gmail.com" TargetMode="External"/><Relationship Id="rId3" Type="http://schemas.openxmlformats.org/officeDocument/2006/relationships/hyperlink" Target="mailto:thierry-robert.nsikou@wtwco.com" TargetMode="External"/><Relationship Id="rId4" Type="http://schemas.openxmlformats.org/officeDocument/2006/relationships/hyperlink" Target="mailto:gracia.ikouadja@wtwco.co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0" activeCellId="0" sqref="F20"/>
    </sheetView>
  </sheetViews>
  <sheetFormatPr defaultColWidth="10.50390625" defaultRowHeight="14.25" customHeight="false" zeroHeight="false" outlineLevelRow="0" outlineLevelCol="0"/>
  <cols>
    <col collapsed="false" customWidth="true" hidden="false" outlineLevel="0" max="1" min="1" style="1" width="15.18"/>
    <col collapsed="false" customWidth="true" hidden="false" outlineLevel="0" max="2" min="2" style="1" width="17.91"/>
    <col collapsed="false" customWidth="true" hidden="false" outlineLevel="0" max="3" min="3" style="1" width="18.82"/>
    <col collapsed="false" customWidth="true" hidden="false" outlineLevel="0" max="4" min="4" style="1" width="18"/>
    <col collapsed="false" customWidth="true" hidden="false" outlineLevel="0" max="5" min="5" style="1" width="26.18"/>
    <col collapsed="false" customWidth="true" hidden="false" outlineLevel="0" max="9" min="9" style="1" width="14.18"/>
    <col collapsed="false" customWidth="true" hidden="false" outlineLevel="0" max="10" min="10" style="1" width="18.54"/>
    <col collapsed="false" customWidth="true" hidden="false" outlineLevel="0" max="11" min="11" style="1" width="16.27"/>
  </cols>
  <sheetData>
    <row r="1" s="4" customFormat="true" ht="14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4" customFormat="true" ht="14.25" hidden="false" customHeight="false" outlineLevel="0" collapsed="false">
      <c r="A2" s="5" t="s">
        <v>12</v>
      </c>
      <c r="B2" s="6" t="n">
        <v>46038</v>
      </c>
      <c r="C2" s="6" t="n">
        <v>46038</v>
      </c>
      <c r="D2" s="7" t="s">
        <v>13</v>
      </c>
      <c r="E2" s="8" t="s">
        <v>14</v>
      </c>
      <c r="F2" s="9" t="n">
        <v>42053</v>
      </c>
      <c r="G2" s="10" t="n">
        <v>7569.54</v>
      </c>
      <c r="H2" s="10" t="n">
        <v>378.477</v>
      </c>
      <c r="I2" s="10" t="n">
        <v>50001.017</v>
      </c>
      <c r="J2" s="11" t="n">
        <v>46038</v>
      </c>
      <c r="K2" s="7" t="s">
        <v>15</v>
      </c>
      <c r="L2" s="7" t="s">
        <v>16</v>
      </c>
    </row>
    <row r="3" s="4" customFormat="true" ht="14.25" hidden="false" customHeight="false" outlineLevel="0" collapsed="false">
      <c r="A3" s="5" t="s">
        <v>12</v>
      </c>
      <c r="B3" s="6" t="n">
        <v>46058</v>
      </c>
      <c r="C3" s="6" t="n">
        <v>46058</v>
      </c>
      <c r="D3" s="7"/>
      <c r="E3" s="8" t="s">
        <v>14</v>
      </c>
      <c r="F3" s="9" t="n">
        <v>42053</v>
      </c>
      <c r="G3" s="10" t="n">
        <v>7569.54</v>
      </c>
      <c r="H3" s="10" t="n">
        <v>378.477</v>
      </c>
      <c r="I3" s="10" t="n">
        <v>50001.017</v>
      </c>
      <c r="J3" s="11" t="n">
        <v>46058</v>
      </c>
      <c r="K3" s="7" t="s">
        <v>15</v>
      </c>
      <c r="L3" s="7" t="s">
        <v>16</v>
      </c>
    </row>
    <row r="4" s="4" customFormat="true" ht="14.25" hidden="false" customHeight="false" outlineLevel="0" collapsed="false">
      <c r="A4" s="8" t="s">
        <v>12</v>
      </c>
      <c r="B4" s="6" t="n">
        <v>46106</v>
      </c>
      <c r="C4" s="6" t="n">
        <v>46106</v>
      </c>
      <c r="D4" s="7" t="s">
        <v>17</v>
      </c>
      <c r="E4" s="8" t="s">
        <v>14</v>
      </c>
      <c r="F4" s="9" t="n">
        <v>42053</v>
      </c>
      <c r="G4" s="10" t="n">
        <v>7569.54</v>
      </c>
      <c r="H4" s="10" t="n">
        <v>378.477</v>
      </c>
      <c r="I4" s="10" t="n">
        <v>50001.017</v>
      </c>
      <c r="J4" s="11" t="n">
        <v>46106</v>
      </c>
      <c r="K4" s="7" t="s">
        <v>15</v>
      </c>
      <c r="L4" s="7" t="s">
        <v>16</v>
      </c>
    </row>
    <row r="5" s="4" customFormat="true" ht="16.5" hidden="false" customHeight="true" outlineLevel="0" collapsed="false">
      <c r="A5" s="5" t="s">
        <v>18</v>
      </c>
      <c r="B5" s="6" t="n">
        <v>46031</v>
      </c>
      <c r="C5" s="6" t="n">
        <v>46031</v>
      </c>
      <c r="D5" s="7" t="s">
        <v>19</v>
      </c>
      <c r="E5" s="8" t="s">
        <v>20</v>
      </c>
      <c r="F5" s="9" t="n">
        <v>315000</v>
      </c>
      <c r="G5" s="10" t="n">
        <v>56700</v>
      </c>
      <c r="H5" s="10" t="n">
        <v>2835</v>
      </c>
      <c r="I5" s="10" t="n">
        <v>374535</v>
      </c>
      <c r="J5" s="11" t="n">
        <v>46031</v>
      </c>
      <c r="K5" s="7" t="s">
        <v>15</v>
      </c>
      <c r="L5" s="7" t="s">
        <v>16</v>
      </c>
    </row>
    <row r="6" s="4" customFormat="true" ht="14.25" hidden="false" customHeight="false" outlineLevel="0" collapsed="false">
      <c r="A6" s="5" t="s">
        <v>21</v>
      </c>
      <c r="B6" s="6" t="n">
        <v>46093</v>
      </c>
      <c r="C6" s="6" t="n">
        <v>46093</v>
      </c>
      <c r="D6" s="7" t="s">
        <v>22</v>
      </c>
      <c r="E6" s="8" t="s">
        <v>20</v>
      </c>
      <c r="F6" s="9" t="n">
        <v>264800</v>
      </c>
      <c r="G6" s="10" t="n">
        <v>47664</v>
      </c>
      <c r="H6" s="10" t="n">
        <v>2383.2</v>
      </c>
      <c r="I6" s="10" t="n">
        <v>314847.2</v>
      </c>
      <c r="J6" s="11" t="n">
        <v>46093</v>
      </c>
      <c r="K6" s="7" t="s">
        <v>15</v>
      </c>
      <c r="L6" s="7" t="s">
        <v>16</v>
      </c>
    </row>
    <row r="7" customFormat="false" ht="14.25" hidden="false" customHeight="false" outlineLevel="0" collapsed="false">
      <c r="A7" s="5" t="s">
        <v>23</v>
      </c>
      <c r="B7" s="6" t="n">
        <v>46031</v>
      </c>
      <c r="C7" s="6" t="n">
        <v>46031</v>
      </c>
      <c r="D7" s="7" t="s">
        <v>24</v>
      </c>
      <c r="E7" s="8" t="s">
        <v>25</v>
      </c>
      <c r="F7" s="9" t="n">
        <v>63771</v>
      </c>
      <c r="G7" s="10" t="n">
        <v>11478.78</v>
      </c>
      <c r="H7" s="10" t="n">
        <v>573.939</v>
      </c>
      <c r="I7" s="10" t="n">
        <v>75823.719</v>
      </c>
      <c r="J7" s="11" t="n">
        <v>46031</v>
      </c>
      <c r="K7" s="7" t="s">
        <v>15</v>
      </c>
      <c r="L7" s="7" t="s">
        <v>16</v>
      </c>
    </row>
    <row r="8" customFormat="false" ht="14.25" hidden="false" customHeight="false" outlineLevel="0" collapsed="false">
      <c r="A8" s="5" t="s">
        <v>23</v>
      </c>
      <c r="B8" s="6" t="n">
        <v>46031</v>
      </c>
      <c r="C8" s="6" t="n">
        <v>46031</v>
      </c>
      <c r="D8" s="7" t="s">
        <v>26</v>
      </c>
      <c r="E8" s="8" t="s">
        <v>25</v>
      </c>
      <c r="F8" s="9" t="n">
        <v>84104</v>
      </c>
      <c r="G8" s="10" t="n">
        <v>15138.72</v>
      </c>
      <c r="H8" s="10" t="n">
        <v>756.936</v>
      </c>
      <c r="I8" s="10" t="n">
        <v>99999.656</v>
      </c>
      <c r="J8" s="11" t="n">
        <v>46038</v>
      </c>
      <c r="K8" s="7" t="s">
        <v>15</v>
      </c>
      <c r="L8" s="7" t="s">
        <v>16</v>
      </c>
    </row>
    <row r="9" customFormat="false" ht="14.25" hidden="false" customHeight="false" outlineLevel="0" collapsed="false">
      <c r="A9" s="5" t="s">
        <v>23</v>
      </c>
      <c r="B9" s="6" t="n">
        <v>46031</v>
      </c>
      <c r="C9" s="6" t="n">
        <v>46031</v>
      </c>
      <c r="D9" s="7" t="s">
        <v>27</v>
      </c>
      <c r="E9" s="8" t="s">
        <v>28</v>
      </c>
      <c r="F9" s="9" t="n">
        <v>160000</v>
      </c>
      <c r="G9" s="10" t="n">
        <v>28800</v>
      </c>
      <c r="H9" s="10" t="n">
        <v>1440</v>
      </c>
      <c r="I9" s="10" t="n">
        <v>190240</v>
      </c>
      <c r="J9" s="12" t="n">
        <v>46064</v>
      </c>
      <c r="K9" s="7" t="s">
        <v>29</v>
      </c>
      <c r="L9" s="7" t="s">
        <v>16</v>
      </c>
    </row>
    <row r="10" customFormat="false" ht="14.25" hidden="false" customHeight="false" outlineLevel="0" collapsed="false">
      <c r="A10" s="5" t="s">
        <v>23</v>
      </c>
      <c r="B10" s="6" t="n">
        <v>46031</v>
      </c>
      <c r="C10" s="6" t="n">
        <v>46031</v>
      </c>
      <c r="D10" s="7" t="s">
        <v>30</v>
      </c>
      <c r="E10" s="8" t="s">
        <v>28</v>
      </c>
      <c r="F10" s="9" t="n">
        <v>29750</v>
      </c>
      <c r="G10" s="10" t="n">
        <v>5355</v>
      </c>
      <c r="H10" s="10" t="n">
        <v>267.75</v>
      </c>
      <c r="I10" s="10" t="n">
        <v>35372.75</v>
      </c>
      <c r="J10" s="12"/>
      <c r="K10" s="7"/>
      <c r="L10" s="7" t="s">
        <v>31</v>
      </c>
    </row>
    <row r="11" customFormat="false" ht="14.25" hidden="false" customHeight="false" outlineLevel="0" collapsed="false">
      <c r="A11" s="5" t="s">
        <v>23</v>
      </c>
      <c r="B11" s="6" t="n">
        <v>46031</v>
      </c>
      <c r="C11" s="6" t="n">
        <v>46031</v>
      </c>
      <c r="D11" s="7" t="s">
        <v>32</v>
      </c>
      <c r="E11" s="8" t="s">
        <v>28</v>
      </c>
      <c r="F11" s="9" t="n">
        <v>25000</v>
      </c>
      <c r="G11" s="10" t="n">
        <v>4500</v>
      </c>
      <c r="H11" s="10" t="n">
        <v>225</v>
      </c>
      <c r="I11" s="10" t="n">
        <v>29725</v>
      </c>
      <c r="J11" s="12" t="n">
        <v>46064</v>
      </c>
      <c r="K11" s="7" t="s">
        <v>29</v>
      </c>
      <c r="L11" s="7" t="s">
        <v>16</v>
      </c>
    </row>
    <row r="12" customFormat="false" ht="14.25" hidden="false" customHeight="false" outlineLevel="0" collapsed="false">
      <c r="A12" s="5" t="s">
        <v>23</v>
      </c>
      <c r="B12" s="6" t="n">
        <v>46031</v>
      </c>
      <c r="C12" s="6" t="n">
        <v>46031</v>
      </c>
      <c r="D12" s="7" t="s">
        <v>33</v>
      </c>
      <c r="E12" s="8" t="s">
        <v>28</v>
      </c>
      <c r="F12" s="9" t="n">
        <v>25000</v>
      </c>
      <c r="G12" s="10" t="n">
        <v>4500</v>
      </c>
      <c r="H12" s="10" t="n">
        <v>225</v>
      </c>
      <c r="I12" s="10" t="n">
        <v>29725</v>
      </c>
      <c r="J12" s="12" t="n">
        <v>46064</v>
      </c>
      <c r="K12" s="7" t="s">
        <v>29</v>
      </c>
      <c r="L12" s="7" t="s">
        <v>16</v>
      </c>
    </row>
    <row r="13" customFormat="false" ht="14.25" hidden="false" customHeight="false" outlineLevel="0" collapsed="false">
      <c r="A13" s="5" t="s">
        <v>23</v>
      </c>
      <c r="B13" s="6" t="n">
        <v>46072</v>
      </c>
      <c r="C13" s="6" t="n">
        <v>46072</v>
      </c>
      <c r="D13" s="7" t="s">
        <v>34</v>
      </c>
      <c r="E13" s="8" t="s">
        <v>35</v>
      </c>
      <c r="F13" s="9" t="n">
        <v>24000</v>
      </c>
      <c r="G13" s="10" t="n">
        <v>4320</v>
      </c>
      <c r="H13" s="10" t="n">
        <v>216</v>
      </c>
      <c r="I13" s="10" t="n">
        <v>28536</v>
      </c>
      <c r="J13" s="11" t="n">
        <v>46072</v>
      </c>
      <c r="K13" s="7" t="s">
        <v>15</v>
      </c>
      <c r="L13" s="7" t="s">
        <v>16</v>
      </c>
    </row>
    <row r="14" customFormat="false" ht="14.25" hidden="false" customHeight="false" outlineLevel="0" collapsed="false">
      <c r="A14" s="5" t="s">
        <v>23</v>
      </c>
      <c r="B14" s="6" t="n">
        <v>46074</v>
      </c>
      <c r="C14" s="6" t="n">
        <v>46074</v>
      </c>
      <c r="D14" s="7" t="s">
        <v>36</v>
      </c>
      <c r="E14" s="8" t="s">
        <v>37</v>
      </c>
      <c r="F14" s="9" t="n">
        <v>9300</v>
      </c>
      <c r="G14" s="10" t="n">
        <v>1674</v>
      </c>
      <c r="H14" s="10" t="n">
        <v>83.7</v>
      </c>
      <c r="I14" s="10" t="n">
        <v>11057.7</v>
      </c>
      <c r="J14" s="11" t="n">
        <v>46074</v>
      </c>
      <c r="K14" s="7" t="s">
        <v>15</v>
      </c>
      <c r="L14" s="7" t="s">
        <v>16</v>
      </c>
    </row>
    <row r="15" customFormat="false" ht="14.25" hidden="false" customHeight="false" outlineLevel="0" collapsed="false">
      <c r="A15" s="5" t="s">
        <v>23</v>
      </c>
      <c r="B15" s="6" t="n">
        <v>46080</v>
      </c>
      <c r="C15" s="6" t="n">
        <v>46080</v>
      </c>
      <c r="D15" s="7" t="s">
        <v>38</v>
      </c>
      <c r="E15" s="8" t="s">
        <v>37</v>
      </c>
      <c r="F15" s="9" t="n">
        <v>16000</v>
      </c>
      <c r="G15" s="10" t="n">
        <v>2880</v>
      </c>
      <c r="H15" s="10" t="n">
        <v>144</v>
      </c>
      <c r="I15" s="10" t="n">
        <v>19024</v>
      </c>
      <c r="J15" s="11" t="n">
        <v>46080</v>
      </c>
      <c r="K15" s="7" t="s">
        <v>15</v>
      </c>
      <c r="L15" s="7" t="s">
        <v>16</v>
      </c>
    </row>
    <row r="16" customFormat="false" ht="14.25" hidden="false" customHeight="false" outlineLevel="0" collapsed="false">
      <c r="A16" s="5" t="s">
        <v>23</v>
      </c>
      <c r="B16" s="6" t="n">
        <v>46080</v>
      </c>
      <c r="C16" s="6" t="n">
        <v>46080</v>
      </c>
      <c r="D16" s="7" t="s">
        <v>39</v>
      </c>
      <c r="E16" s="8" t="s">
        <v>37</v>
      </c>
      <c r="F16" s="9" t="n">
        <v>1250</v>
      </c>
      <c r="G16" s="10" t="n">
        <v>225</v>
      </c>
      <c r="H16" s="10" t="n">
        <v>11.25</v>
      </c>
      <c r="I16" s="10" t="n">
        <v>1486.25</v>
      </c>
      <c r="J16" s="11" t="n">
        <v>46080</v>
      </c>
      <c r="K16" s="7" t="s">
        <v>15</v>
      </c>
      <c r="L16" s="7" t="s">
        <v>16</v>
      </c>
    </row>
    <row r="17" customFormat="false" ht="14.25" hidden="false" customHeight="false" outlineLevel="0" collapsed="false">
      <c r="A17" s="5" t="s">
        <v>23</v>
      </c>
      <c r="B17" s="6" t="n">
        <v>46083</v>
      </c>
      <c r="C17" s="6" t="n">
        <v>46083</v>
      </c>
      <c r="D17" s="7" t="s">
        <v>40</v>
      </c>
      <c r="E17" s="8" t="s">
        <v>41</v>
      </c>
      <c r="F17" s="9" t="n">
        <v>5040</v>
      </c>
      <c r="G17" s="10" t="n">
        <v>907.2</v>
      </c>
      <c r="H17" s="10" t="n">
        <v>45.36</v>
      </c>
      <c r="I17" s="10" t="n">
        <v>5992.56</v>
      </c>
      <c r="J17" s="11" t="n">
        <v>46083</v>
      </c>
      <c r="K17" s="7" t="s">
        <v>15</v>
      </c>
      <c r="L17" s="7" t="s">
        <v>16</v>
      </c>
    </row>
    <row r="18" s="4" customFormat="true" ht="14.2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="4" customFormat="true" ht="14.2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="4" customFormat="true" ht="14.2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="4" customFormat="true" ht="14.2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="4" customFormat="true" ht="14.2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="4" customFormat="true" ht="14.2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L2:L17">
    <cfRule type="containsText" priority="2" operator="containsText" aboveAverage="0" equalAverage="0" bottom="0" percent="0" rank="0" text="Non payé" dxfId="0">
      <formula>NOT(ISERROR(SEARCH("Non payé",L2)))</formula>
    </cfRule>
    <cfRule type="containsText" priority="3" operator="containsText" aboveAverage="0" equalAverage="0" bottom="0" percent="0" rank="0" text="Payé" dxfId="1">
      <formula>NOT(ISERROR(SEARCH("Payé",L2)))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" activeCellId="0" sqref="B1"/>
    </sheetView>
  </sheetViews>
  <sheetFormatPr defaultColWidth="10.50390625" defaultRowHeight="14.25" customHeight="false" zeroHeight="false" outlineLevelRow="0" outlineLevelCol="0"/>
  <cols>
    <col collapsed="false" customWidth="true" hidden="false" outlineLevel="0" max="1" min="1" style="1" width="4.18"/>
    <col collapsed="false" customWidth="true" hidden="false" outlineLevel="0" max="2" min="2" style="13" width="83"/>
  </cols>
  <sheetData>
    <row r="1" customFormat="false" ht="14.25" hidden="false" customHeight="false" outlineLevel="0" collapsed="false">
      <c r="A1" s="14" t="s">
        <v>42</v>
      </c>
      <c r="B1" s="15" t="s">
        <v>43</v>
      </c>
      <c r="C1" s="13"/>
      <c r="D1" s="13"/>
    </row>
    <row r="2" customFormat="false" ht="14.25" hidden="false" customHeight="false" outlineLevel="0" collapsed="false">
      <c r="A2" s="16" t="n">
        <v>1</v>
      </c>
      <c r="B2" s="17" t="s">
        <v>44</v>
      </c>
      <c r="C2" s="18"/>
      <c r="D2" s="18"/>
    </row>
    <row r="3" customFormat="false" ht="14.25" hidden="false" customHeight="false" outlineLevel="0" collapsed="false">
      <c r="A3" s="16" t="n">
        <v>2</v>
      </c>
      <c r="B3" s="19" t="s">
        <v>45</v>
      </c>
      <c r="C3" s="18"/>
      <c r="D3" s="18"/>
    </row>
    <row r="4" customFormat="false" ht="14.25" hidden="false" customHeight="false" outlineLevel="0" collapsed="false">
      <c r="A4" s="16" t="n">
        <v>3</v>
      </c>
      <c r="B4" s="19" t="s">
        <v>46</v>
      </c>
      <c r="C4" s="18"/>
      <c r="D4" s="18"/>
    </row>
    <row r="5" customFormat="false" ht="14.25" hidden="false" customHeight="false" outlineLevel="0" collapsed="false">
      <c r="A5" s="16" t="n">
        <v>4</v>
      </c>
      <c r="B5" s="19" t="s">
        <v>23</v>
      </c>
      <c r="C5" s="18"/>
      <c r="D5" s="18"/>
    </row>
    <row r="6" customFormat="false" ht="14.25" hidden="false" customHeight="false" outlineLevel="0" collapsed="false">
      <c r="A6" s="16" t="n">
        <v>5</v>
      </c>
      <c r="B6" s="20" t="s">
        <v>47</v>
      </c>
      <c r="C6" s="18"/>
      <c r="D6" s="18"/>
    </row>
    <row r="7" customFormat="false" ht="14.25" hidden="false" customHeight="false" outlineLevel="0" collapsed="false">
      <c r="A7" s="16" t="n">
        <v>6</v>
      </c>
      <c r="B7" s="20" t="s">
        <v>48</v>
      </c>
      <c r="C7" s="18"/>
      <c r="D7" s="18"/>
    </row>
    <row r="8" customFormat="false" ht="14.25" hidden="false" customHeight="false" outlineLevel="0" collapsed="false">
      <c r="A8" s="16" t="n">
        <v>7</v>
      </c>
      <c r="B8" s="20" t="s">
        <v>49</v>
      </c>
      <c r="C8" s="18"/>
      <c r="D8" s="18"/>
    </row>
    <row r="9" customFormat="false" ht="14.25" hidden="false" customHeight="false" outlineLevel="0" collapsed="false">
      <c r="A9" s="16" t="n">
        <v>8</v>
      </c>
      <c r="B9" s="20" t="s">
        <v>50</v>
      </c>
      <c r="C9" s="18"/>
      <c r="D9" s="18"/>
    </row>
    <row r="10" customFormat="false" ht="14.25" hidden="false" customHeight="false" outlineLevel="0" collapsed="false">
      <c r="A10" s="16" t="n">
        <v>9</v>
      </c>
      <c r="B10" s="20" t="s">
        <v>51</v>
      </c>
      <c r="C10" s="18"/>
      <c r="D10" s="18"/>
    </row>
    <row r="11" customFormat="false" ht="14.25" hidden="false" customHeight="false" outlineLevel="0" collapsed="false">
      <c r="A11" s="16" t="n">
        <v>10</v>
      </c>
      <c r="B11" s="20" t="s">
        <v>52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2" activeCellId="0" sqref="D12"/>
    </sheetView>
  </sheetViews>
  <sheetFormatPr defaultColWidth="10.50390625" defaultRowHeight="14.25" customHeight="false" zeroHeight="false" outlineLevelRow="0" outlineLevelCol="0"/>
  <cols>
    <col collapsed="false" customWidth="true" hidden="false" outlineLevel="0" max="1" min="1" style="1" width="28.27"/>
    <col collapsed="false" customWidth="true" hidden="false" outlineLevel="0" max="2" min="2" style="1" width="35.27"/>
    <col collapsed="false" customWidth="true" hidden="false" outlineLevel="0" max="3" min="3" style="21" width="29.91"/>
    <col collapsed="false" customWidth="true" hidden="false" outlineLevel="0" max="4" min="4" style="22" width="38.82"/>
  </cols>
  <sheetData>
    <row r="1" customFormat="false" ht="14.25" hidden="false" customHeight="false" outlineLevel="0" collapsed="false">
      <c r="A1" s="23" t="s">
        <v>53</v>
      </c>
      <c r="B1" s="24" t="s">
        <v>54</v>
      </c>
      <c r="C1" s="24" t="s">
        <v>55</v>
      </c>
      <c r="D1" s="24" t="s">
        <v>56</v>
      </c>
    </row>
    <row r="2" customFormat="false" ht="18" hidden="false" customHeight="true" outlineLevel="0" collapsed="false">
      <c r="A2" s="25" t="s">
        <v>14</v>
      </c>
      <c r="B2" s="26" t="s">
        <v>57</v>
      </c>
      <c r="C2" s="27" t="s">
        <v>58</v>
      </c>
      <c r="D2" s="25" t="s">
        <v>59</v>
      </c>
    </row>
    <row r="3" customFormat="false" ht="18" hidden="false" customHeight="true" outlineLevel="0" collapsed="false">
      <c r="A3" s="25" t="s">
        <v>25</v>
      </c>
      <c r="B3" s="19"/>
      <c r="C3" s="28"/>
      <c r="D3" s="25" t="s">
        <v>60</v>
      </c>
    </row>
    <row r="4" customFormat="false" ht="18" hidden="false" customHeight="true" outlineLevel="0" collapsed="false">
      <c r="A4" s="25" t="s">
        <v>20</v>
      </c>
      <c r="B4" s="26" t="s">
        <v>61</v>
      </c>
      <c r="C4" s="27" t="s">
        <v>62</v>
      </c>
      <c r="D4" s="25" t="s">
        <v>63</v>
      </c>
    </row>
    <row r="5" customFormat="false" ht="18" hidden="false" customHeight="true" outlineLevel="0" collapsed="false">
      <c r="A5" s="25" t="s">
        <v>28</v>
      </c>
      <c r="B5" s="26" t="s">
        <v>64</v>
      </c>
      <c r="C5" s="28" t="s">
        <v>65</v>
      </c>
      <c r="D5" s="25" t="s">
        <v>66</v>
      </c>
    </row>
    <row r="6" customFormat="false" ht="18" hidden="false" customHeight="true" outlineLevel="0" collapsed="false">
      <c r="A6" s="25" t="s">
        <v>35</v>
      </c>
      <c r="B6" s="26" t="s">
        <v>67</v>
      </c>
      <c r="C6" s="27" t="s">
        <v>68</v>
      </c>
      <c r="D6" s="25" t="s">
        <v>66</v>
      </c>
    </row>
    <row r="7" customFormat="false" ht="18" hidden="false" customHeight="true" outlineLevel="0" collapsed="false">
      <c r="A7" s="25" t="s">
        <v>37</v>
      </c>
      <c r="B7" s="19"/>
      <c r="C7" s="27" t="s">
        <v>69</v>
      </c>
      <c r="D7" s="25" t="s">
        <v>70</v>
      </c>
    </row>
    <row r="8" customFormat="false" ht="18" hidden="false" customHeight="true" outlineLevel="0" collapsed="false">
      <c r="A8" s="25" t="s">
        <v>41</v>
      </c>
      <c r="B8" s="19"/>
      <c r="C8" s="28"/>
      <c r="D8" s="25" t="s">
        <v>71</v>
      </c>
    </row>
    <row r="9" customFormat="false" ht="12" hidden="false" customHeight="false" outlineLevel="0" collapsed="false">
      <c r="A9" s="13"/>
      <c r="B9" s="13"/>
      <c r="C9" s="29"/>
      <c r="D9" s="30"/>
    </row>
    <row r="10" customFormat="false" ht="12" hidden="false" customHeight="false" outlineLevel="0" collapsed="false">
      <c r="A10" s="13"/>
      <c r="B10" s="13"/>
      <c r="C10" s="29"/>
      <c r="D10" s="30"/>
    </row>
  </sheetData>
  <hyperlinks>
    <hyperlink ref="B2" r:id="rId1" display="moussayara2004@gmail.com"/>
    <hyperlink ref="B4" r:id="rId2" display="kibindaesperith@gmail.com"/>
    <hyperlink ref="B5" r:id="rId3" display="thierry-robert.nsikou@wtwco.com"/>
    <hyperlink ref="B6" r:id="rId4" display="gracia.ikouadja@wtwc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3" activeCellId="0" sqref="G13"/>
    </sheetView>
  </sheetViews>
  <sheetFormatPr defaultColWidth="8.734375" defaultRowHeight="18" customHeight="true" zeroHeight="false" outlineLevelRow="0" outlineLevelCol="0"/>
  <cols>
    <col collapsed="false" customWidth="true" hidden="false" outlineLevel="0" max="1" min="1" style="1" width="30.73"/>
    <col collapsed="false" customWidth="true" hidden="false" outlineLevel="0" max="2" min="2" style="31" width="35.82"/>
    <col collapsed="false" customWidth="true" hidden="false" outlineLevel="0" max="3" min="3" style="1" width="30.73"/>
    <col collapsed="false" customWidth="true" hidden="false" outlineLevel="0" max="4" min="4" style="1" width="18.91"/>
    <col collapsed="false" customWidth="true" hidden="false" outlineLevel="0" max="5" min="5" style="1" width="19.54"/>
    <col collapsed="false" customWidth="true" hidden="false" outlineLevel="0" max="6" min="6" style="21" width="30.73"/>
    <col collapsed="false" customWidth="true" hidden="false" outlineLevel="0" max="7" min="7" style="32" width="30.73"/>
  </cols>
  <sheetData>
    <row r="1" s="36" customFormat="true" ht="18" hidden="false" customHeight="true" outlineLevel="0" collapsed="false">
      <c r="A1" s="33" t="s">
        <v>72</v>
      </c>
      <c r="B1" s="34" t="s">
        <v>73</v>
      </c>
      <c r="C1" s="33" t="s">
        <v>74</v>
      </c>
      <c r="D1" s="33" t="s">
        <v>75</v>
      </c>
      <c r="E1" s="33" t="s">
        <v>76</v>
      </c>
      <c r="F1" s="35" t="s">
        <v>77</v>
      </c>
      <c r="G1" s="35" t="s">
        <v>11</v>
      </c>
    </row>
    <row r="2" s="36" customFormat="true" ht="18" hidden="false" customHeight="true" outlineLevel="0" collapsed="false">
      <c r="A2" s="37" t="s">
        <v>78</v>
      </c>
      <c r="B2" s="38" t="n">
        <v>46108.5910185185</v>
      </c>
      <c r="C2" s="37" t="s">
        <v>79</v>
      </c>
      <c r="D2" s="37" t="s">
        <v>80</v>
      </c>
      <c r="E2" s="37"/>
      <c r="F2" s="39" t="n">
        <v>19619</v>
      </c>
      <c r="G2" s="40" t="s">
        <v>81</v>
      </c>
    </row>
    <row r="3" s="36" customFormat="true" ht="18" hidden="false" customHeight="true" outlineLevel="0" collapsed="false">
      <c r="A3" s="37" t="s">
        <v>82</v>
      </c>
      <c r="B3" s="38" t="n">
        <v>46108.7090856481</v>
      </c>
      <c r="C3" s="37" t="s">
        <v>83</v>
      </c>
      <c r="D3" s="37" t="s">
        <v>80</v>
      </c>
      <c r="E3" s="37"/>
      <c r="F3" s="39" t="n">
        <v>20214</v>
      </c>
      <c r="G3" s="40" t="s">
        <v>81</v>
      </c>
    </row>
    <row r="4" s="36" customFormat="true" ht="18" hidden="false" customHeight="true" outlineLevel="0" collapsed="false">
      <c r="A4" s="37" t="s">
        <v>84</v>
      </c>
      <c r="B4" s="38" t="n">
        <v>46093.6065162037</v>
      </c>
      <c r="C4" s="37" t="s">
        <v>85</v>
      </c>
      <c r="D4" s="37" t="s">
        <v>80</v>
      </c>
      <c r="E4" s="37"/>
      <c r="F4" s="39" t="n">
        <v>314847</v>
      </c>
      <c r="G4" s="40" t="s">
        <v>81</v>
      </c>
    </row>
    <row r="5" s="36" customFormat="true" ht="18" hidden="false" customHeight="true" outlineLevel="0" collapsed="false">
      <c r="A5" s="37" t="s">
        <v>86</v>
      </c>
      <c r="B5" s="38" t="n">
        <v>46107.6302430556</v>
      </c>
      <c r="C5" s="37" t="s">
        <v>87</v>
      </c>
      <c r="D5" s="37" t="s">
        <v>80</v>
      </c>
      <c r="E5" s="37"/>
      <c r="F5" s="39" t="n">
        <v>104038</v>
      </c>
      <c r="G5" s="40" t="s">
        <v>88</v>
      </c>
    </row>
    <row r="6" s="36" customFormat="true" ht="18" hidden="false" customHeight="true" outlineLevel="0" collapsed="false">
      <c r="A6" s="37" t="s">
        <v>89</v>
      </c>
      <c r="B6" s="38" t="n">
        <v>46094.4452199074</v>
      </c>
      <c r="C6" s="37" t="s">
        <v>87</v>
      </c>
      <c r="D6" s="37" t="s">
        <v>80</v>
      </c>
      <c r="E6" s="37"/>
      <c r="F6" s="39" t="n">
        <v>951200</v>
      </c>
      <c r="G6" s="40" t="s">
        <v>88</v>
      </c>
    </row>
    <row r="7" s="36" customFormat="true" ht="18" hidden="false" customHeight="true" outlineLevel="0" collapsed="false">
      <c r="A7" s="37" t="s">
        <v>90</v>
      </c>
      <c r="B7" s="38" t="n">
        <v>46094.364537037</v>
      </c>
      <c r="C7" s="37" t="s">
        <v>91</v>
      </c>
      <c r="D7" s="37" t="s">
        <v>80</v>
      </c>
      <c r="E7" s="37"/>
      <c r="F7" s="39" t="n">
        <v>220500</v>
      </c>
      <c r="G7" s="40" t="s">
        <v>88</v>
      </c>
    </row>
    <row r="8" s="36" customFormat="true" ht="18" hidden="false" customHeight="true" outlineLevel="0" collapsed="false">
      <c r="A8" s="37" t="s">
        <v>92</v>
      </c>
      <c r="B8" s="38" t="n">
        <v>46093.652962963</v>
      </c>
      <c r="C8" s="37" t="s">
        <v>87</v>
      </c>
      <c r="D8" s="37" t="s">
        <v>80</v>
      </c>
      <c r="E8" s="37"/>
      <c r="F8" s="39" t="n">
        <v>0</v>
      </c>
      <c r="G8" s="40" t="s">
        <v>88</v>
      </c>
    </row>
    <row r="9" s="36" customFormat="true" ht="18" hidden="false" customHeight="true" outlineLevel="0" collapsed="false">
      <c r="A9" s="37" t="s">
        <v>93</v>
      </c>
      <c r="B9" s="38" t="n">
        <v>46091.5620833333</v>
      </c>
      <c r="C9" s="37" t="s">
        <v>94</v>
      </c>
      <c r="D9" s="37" t="s">
        <v>80</v>
      </c>
      <c r="E9" s="37"/>
      <c r="F9" s="39" t="n">
        <v>14862500</v>
      </c>
      <c r="G9" s="40" t="s">
        <v>88</v>
      </c>
    </row>
    <row r="10" s="36" customFormat="true" ht="18" hidden="false" customHeight="true" outlineLevel="0" collapsed="false">
      <c r="A10" s="37" t="s">
        <v>95</v>
      </c>
      <c r="B10" s="38" t="n">
        <v>46085.5871759259</v>
      </c>
      <c r="C10" s="37" t="s">
        <v>96</v>
      </c>
      <c r="D10" s="37" t="s">
        <v>80</v>
      </c>
      <c r="E10" s="37"/>
      <c r="F10" s="39" t="n">
        <v>238900</v>
      </c>
      <c r="G10" s="40" t="s">
        <v>88</v>
      </c>
    </row>
    <row r="11" s="36" customFormat="true" ht="18" hidden="false" customHeight="true" outlineLevel="0" collapsed="false">
      <c r="A11" s="37" t="s">
        <v>97</v>
      </c>
      <c r="B11" s="38" t="n">
        <v>46083.6248032407</v>
      </c>
      <c r="C11" s="37" t="s">
        <v>41</v>
      </c>
      <c r="D11" s="37" t="s">
        <v>80</v>
      </c>
      <c r="E11" s="37"/>
      <c r="F11" s="39" t="n">
        <v>5992</v>
      </c>
      <c r="G11" s="40" t="s">
        <v>81</v>
      </c>
    </row>
    <row r="12" s="36" customFormat="true" ht="18" hidden="false" customHeight="true" outlineLevel="0" collapsed="false">
      <c r="A12" s="37" t="s">
        <v>98</v>
      </c>
      <c r="B12" s="38" t="n">
        <v>46080.4631018519</v>
      </c>
      <c r="C12" s="37" t="s">
        <v>99</v>
      </c>
      <c r="D12" s="37" t="s">
        <v>80</v>
      </c>
      <c r="E12" s="37"/>
      <c r="F12" s="39" t="n">
        <v>1486</v>
      </c>
      <c r="G12" s="40" t="s">
        <v>81</v>
      </c>
    </row>
    <row r="13" s="36" customFormat="true" ht="18" hidden="false" customHeight="true" outlineLevel="0" collapsed="false">
      <c r="A13" s="37" t="s">
        <v>100</v>
      </c>
      <c r="B13" s="38" t="n">
        <v>46059.6091782407</v>
      </c>
      <c r="C13" s="37" t="s">
        <v>101</v>
      </c>
      <c r="D13" s="37" t="s">
        <v>80</v>
      </c>
      <c r="E13" s="37"/>
      <c r="F13" s="39" t="n">
        <v>19024</v>
      </c>
      <c r="G13" s="40" t="s">
        <v>81</v>
      </c>
    </row>
    <row r="14" s="36" customFormat="true" ht="18" hidden="false" customHeight="true" outlineLevel="0" collapsed="false">
      <c r="A14" s="37" t="s">
        <v>102</v>
      </c>
      <c r="B14" s="38" t="n">
        <v>46074.5130787037</v>
      </c>
      <c r="C14" s="37" t="s">
        <v>99</v>
      </c>
      <c r="D14" s="37" t="s">
        <v>80</v>
      </c>
      <c r="E14" s="37"/>
      <c r="F14" s="39" t="n">
        <v>11058</v>
      </c>
      <c r="G14" s="40" t="s">
        <v>81</v>
      </c>
    </row>
    <row r="15" s="36" customFormat="true" ht="18" hidden="false" customHeight="true" outlineLevel="0" collapsed="false">
      <c r="A15" s="37" t="s">
        <v>103</v>
      </c>
      <c r="B15" s="38" t="n">
        <v>46055.5507175926</v>
      </c>
      <c r="C15" s="37" t="s">
        <v>79</v>
      </c>
      <c r="D15" s="37" t="s">
        <v>80</v>
      </c>
      <c r="E15" s="37"/>
      <c r="F15" s="39" t="n">
        <v>28536</v>
      </c>
      <c r="G15" s="40" t="s">
        <v>81</v>
      </c>
    </row>
    <row r="16" s="36" customFormat="true" ht="18" hidden="false" customHeight="true" outlineLevel="0" collapsed="false">
      <c r="A16" s="37" t="s">
        <v>104</v>
      </c>
      <c r="B16" s="38" t="n">
        <v>46058.7420023148</v>
      </c>
      <c r="C16" s="37" t="s">
        <v>105</v>
      </c>
      <c r="D16" s="37" t="s">
        <v>80</v>
      </c>
      <c r="E16" s="37"/>
      <c r="F16" s="39" t="n">
        <v>50001</v>
      </c>
      <c r="G16" s="40" t="s">
        <v>81</v>
      </c>
    </row>
    <row r="17" customFormat="false" ht="18" hidden="false" customHeight="true" outlineLevel="0" collapsed="false">
      <c r="A17" s="37" t="s">
        <v>106</v>
      </c>
      <c r="B17" s="38" t="n">
        <v>46070.6685763889</v>
      </c>
      <c r="C17" s="37" t="s">
        <v>107</v>
      </c>
      <c r="D17" s="37" t="s">
        <v>80</v>
      </c>
      <c r="E17" s="37"/>
      <c r="F17" s="39" t="n">
        <v>53505</v>
      </c>
      <c r="G17" s="40" t="s">
        <v>88</v>
      </c>
    </row>
    <row r="18" customFormat="false" ht="18" hidden="false" customHeight="true" outlineLevel="0" collapsed="false">
      <c r="A18" s="37" t="s">
        <v>108</v>
      </c>
      <c r="B18" s="38" t="n">
        <v>46066.8369444445</v>
      </c>
      <c r="C18" s="37" t="s">
        <v>109</v>
      </c>
      <c r="D18" s="37" t="s">
        <v>80</v>
      </c>
      <c r="E18" s="37"/>
      <c r="F18" s="39" t="n">
        <v>15159750</v>
      </c>
      <c r="G18" s="40" t="s">
        <v>88</v>
      </c>
    </row>
    <row r="19" customFormat="false" ht="18" hidden="false" customHeight="true" outlineLevel="0" collapsed="false">
      <c r="A19" s="37" t="s">
        <v>110</v>
      </c>
      <c r="B19" s="38" t="n">
        <v>46064.706087963</v>
      </c>
      <c r="C19" s="37" t="s">
        <v>111</v>
      </c>
      <c r="D19" s="37" t="s">
        <v>80</v>
      </c>
      <c r="E19" s="37"/>
      <c r="F19" s="39" t="n">
        <v>298350</v>
      </c>
      <c r="G19" s="40" t="s">
        <v>88</v>
      </c>
    </row>
    <row r="20" customFormat="false" ht="18" hidden="false" customHeight="true" outlineLevel="0" collapsed="false">
      <c r="A20" s="37" t="s">
        <v>112</v>
      </c>
      <c r="B20" s="38" t="n">
        <v>46064.668912037</v>
      </c>
      <c r="C20" s="37" t="s">
        <v>113</v>
      </c>
      <c r="D20" s="37" t="s">
        <v>80</v>
      </c>
      <c r="E20" s="37"/>
      <c r="F20" s="39" t="n">
        <v>288901</v>
      </c>
      <c r="G20" s="40" t="s">
        <v>88</v>
      </c>
    </row>
    <row r="21" customFormat="false" ht="18" hidden="false" customHeight="true" outlineLevel="0" collapsed="false">
      <c r="A21" s="37" t="s">
        <v>114</v>
      </c>
      <c r="B21" s="38" t="n">
        <v>46064.6281481482</v>
      </c>
      <c r="C21" s="37" t="s">
        <v>115</v>
      </c>
      <c r="D21" s="37" t="s">
        <v>80</v>
      </c>
      <c r="E21" s="37"/>
      <c r="F21" s="39" t="n">
        <v>298350</v>
      </c>
      <c r="G21" s="40" t="s">
        <v>88</v>
      </c>
    </row>
    <row r="22" customFormat="false" ht="18" hidden="false" customHeight="true" outlineLevel="0" collapsed="false">
      <c r="A22" s="37" t="s">
        <v>116</v>
      </c>
      <c r="B22" s="38" t="n">
        <v>46039.0071875</v>
      </c>
      <c r="C22" s="37" t="s">
        <v>117</v>
      </c>
      <c r="D22" s="37" t="s">
        <v>80</v>
      </c>
      <c r="E22" s="37"/>
      <c r="F22" s="39" t="n">
        <v>25682400</v>
      </c>
      <c r="G22" s="40" t="s">
        <v>88</v>
      </c>
    </row>
    <row r="23" customFormat="false" ht="18" hidden="false" customHeight="true" outlineLevel="0" collapsed="false">
      <c r="A23" s="37" t="s">
        <v>118</v>
      </c>
      <c r="B23" s="38" t="n">
        <v>46038.4291782407</v>
      </c>
      <c r="C23" s="37" t="s">
        <v>14</v>
      </c>
      <c r="D23" s="37" t="s">
        <v>80</v>
      </c>
      <c r="E23" s="37"/>
      <c r="F23" s="39" t="n">
        <v>50001</v>
      </c>
      <c r="G23" s="40" t="s">
        <v>81</v>
      </c>
    </row>
    <row r="24" customFormat="false" ht="18" hidden="false" customHeight="true" outlineLevel="0" collapsed="false">
      <c r="A24" s="37" t="s">
        <v>119</v>
      </c>
      <c r="B24" s="38" t="n">
        <v>46028.8115393519</v>
      </c>
      <c r="C24" s="37" t="s">
        <v>25</v>
      </c>
      <c r="D24" s="37" t="s">
        <v>80</v>
      </c>
      <c r="E24" s="37"/>
      <c r="F24" s="39" t="n">
        <v>175824</v>
      </c>
      <c r="G24" s="40" t="s">
        <v>81</v>
      </c>
    </row>
    <row r="25" customFormat="false" ht="18" hidden="false" customHeight="true" outlineLevel="0" collapsed="false">
      <c r="A25" s="37" t="s">
        <v>120</v>
      </c>
      <c r="B25" s="38" t="n">
        <v>45993.814849537</v>
      </c>
      <c r="C25" s="37" t="s">
        <v>121</v>
      </c>
      <c r="D25" s="37" t="s">
        <v>80</v>
      </c>
      <c r="E25" s="37"/>
      <c r="F25" s="39" t="n">
        <v>374535</v>
      </c>
      <c r="G25" s="40" t="s">
        <v>81</v>
      </c>
    </row>
    <row r="26" customFormat="false" ht="18" hidden="false" customHeight="true" outlineLevel="0" collapsed="false">
      <c r="A26" s="37" t="s">
        <v>122</v>
      </c>
      <c r="B26" s="38" t="n">
        <v>45982.8926157407</v>
      </c>
      <c r="C26" s="37" t="s">
        <v>28</v>
      </c>
      <c r="D26" s="37" t="s">
        <v>80</v>
      </c>
      <c r="E26" s="37"/>
      <c r="F26" s="39" t="n">
        <v>190240</v>
      </c>
      <c r="G26" s="40" t="s">
        <v>81</v>
      </c>
    </row>
    <row r="27" customFormat="false" ht="18" hidden="false" customHeight="true" outlineLevel="0" collapsed="false">
      <c r="A27" s="37" t="s">
        <v>123</v>
      </c>
      <c r="B27" s="38" t="n">
        <v>45964.6529050926</v>
      </c>
      <c r="C27" s="37" t="s">
        <v>28</v>
      </c>
      <c r="D27" s="37" t="s">
        <v>80</v>
      </c>
      <c r="E27" s="37"/>
      <c r="F27" s="39" t="n">
        <v>35373</v>
      </c>
      <c r="G27" s="40" t="s">
        <v>81</v>
      </c>
    </row>
    <row r="28" customFormat="false" ht="18" hidden="false" customHeight="true" outlineLevel="0" collapsed="false">
      <c r="A28" s="37" t="s">
        <v>124</v>
      </c>
      <c r="B28" s="38" t="n">
        <v>45964.6472685185</v>
      </c>
      <c r="C28" s="37" t="s">
        <v>28</v>
      </c>
      <c r="D28" s="37" t="s">
        <v>80</v>
      </c>
      <c r="E28" s="37"/>
      <c r="F28" s="39" t="n">
        <v>29725</v>
      </c>
      <c r="G28" s="40" t="s">
        <v>81</v>
      </c>
    </row>
    <row r="29" customFormat="false" ht="18" hidden="false" customHeight="true" outlineLevel="0" collapsed="false">
      <c r="A29" s="37" t="s">
        <v>125</v>
      </c>
      <c r="B29" s="38" t="n">
        <v>45949.0263194444</v>
      </c>
      <c r="C29" s="37" t="s">
        <v>28</v>
      </c>
      <c r="D29" s="37" t="s">
        <v>80</v>
      </c>
      <c r="E29" s="37"/>
      <c r="F29" s="39" t="n">
        <v>29725</v>
      </c>
      <c r="G29" s="40" t="s">
        <v>81</v>
      </c>
    </row>
  </sheetData>
  <autoFilter ref="A1:G2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50390625" defaultRowHeight="14.25" customHeight="false" zeroHeight="false" outlineLevelRow="0" outlineLevelCol="0"/>
  <cols>
    <col collapsed="false" customWidth="true" hidden="false" outlineLevel="0" max="1" min="1" style="1" width="21.54"/>
    <col collapsed="false" customWidth="true" hidden="false" outlineLevel="0" max="2" min="2" style="1" width="23.18"/>
    <col collapsed="false" customWidth="true" hidden="false" outlineLevel="0" max="3" min="3" style="1" width="37.63"/>
    <col collapsed="false" customWidth="true" hidden="false" outlineLevel="0" max="4" min="4" style="1" width="25"/>
    <col collapsed="false" customWidth="true" hidden="false" outlineLevel="0" max="8" min="8" style="1" width="20.18"/>
  </cols>
  <sheetData>
    <row r="1" s="42" customFormat="true" ht="18" hidden="false" customHeight="true" outlineLevel="0" collapsed="false">
      <c r="A1" s="41" t="s">
        <v>0</v>
      </c>
      <c r="B1" s="2" t="s">
        <v>1</v>
      </c>
      <c r="C1" s="41" t="s">
        <v>126</v>
      </c>
      <c r="D1" s="3" t="s">
        <v>127</v>
      </c>
      <c r="E1" s="3" t="s">
        <v>5</v>
      </c>
      <c r="F1" s="3" t="s">
        <v>6</v>
      </c>
      <c r="G1" s="3" t="s">
        <v>7</v>
      </c>
      <c r="H1" s="3" t="s">
        <v>8</v>
      </c>
    </row>
    <row r="2" s="42" customFormat="true" ht="18" hidden="false" customHeight="true" outlineLevel="0" collapsed="false">
      <c r="A2" s="43" t="s">
        <v>128</v>
      </c>
      <c r="B2" s="44" t="n">
        <v>46025</v>
      </c>
      <c r="C2" s="45" t="s">
        <v>129</v>
      </c>
      <c r="D2" s="46" t="s">
        <v>130</v>
      </c>
      <c r="E2" s="46" t="n">
        <v>5000</v>
      </c>
      <c r="F2" s="46"/>
      <c r="G2" s="46"/>
      <c r="H2" s="47" t="n">
        <f aca="false">+E2+F2+G2</f>
        <v>5000</v>
      </c>
    </row>
    <row r="3" s="36" customFormat="true" ht="18" hidden="false" customHeight="true" outlineLevel="0" collapsed="false">
      <c r="A3" s="43" t="s">
        <v>128</v>
      </c>
      <c r="B3" s="44" t="n">
        <v>46028</v>
      </c>
      <c r="C3" s="43" t="s">
        <v>131</v>
      </c>
      <c r="D3" s="48" t="s">
        <v>132</v>
      </c>
      <c r="E3" s="47" t="n">
        <v>75000</v>
      </c>
      <c r="F3" s="49"/>
      <c r="G3" s="49"/>
      <c r="H3" s="47" t="n">
        <f aca="false">+E3+F3+G3</f>
        <v>75000</v>
      </c>
    </row>
    <row r="4" s="36" customFormat="true" ht="18" hidden="false" customHeight="true" outlineLevel="0" collapsed="false">
      <c r="A4" s="43" t="s">
        <v>128</v>
      </c>
      <c r="B4" s="44" t="n">
        <v>46028</v>
      </c>
      <c r="C4" s="43" t="s">
        <v>133</v>
      </c>
      <c r="D4" s="48" t="s">
        <v>134</v>
      </c>
      <c r="E4" s="47" t="n">
        <v>32000</v>
      </c>
      <c r="F4" s="49"/>
      <c r="G4" s="49"/>
      <c r="H4" s="47" t="n">
        <f aca="false">+E4+F4+G4</f>
        <v>32000</v>
      </c>
    </row>
    <row r="5" s="36" customFormat="true" ht="18" hidden="false" customHeight="true" outlineLevel="0" collapsed="false">
      <c r="A5" s="43" t="s">
        <v>128</v>
      </c>
      <c r="B5" s="44" t="n">
        <v>46028</v>
      </c>
      <c r="C5" s="43" t="s">
        <v>135</v>
      </c>
      <c r="D5" s="48" t="s">
        <v>136</v>
      </c>
      <c r="E5" s="47" t="n">
        <v>30000</v>
      </c>
      <c r="F5" s="49"/>
      <c r="G5" s="49"/>
      <c r="H5" s="47" t="n">
        <f aca="false">+E5+F5+G5</f>
        <v>30000</v>
      </c>
    </row>
    <row r="6" s="36" customFormat="true" ht="18" hidden="false" customHeight="true" outlineLevel="0" collapsed="false">
      <c r="A6" s="5" t="s">
        <v>137</v>
      </c>
      <c r="B6" s="6" t="n">
        <v>46028</v>
      </c>
      <c r="C6" s="43" t="s">
        <v>138</v>
      </c>
      <c r="D6" s="7" t="s">
        <v>139</v>
      </c>
      <c r="E6" s="47" t="n">
        <v>12615.64</v>
      </c>
      <c r="F6" s="49" t="n">
        <f aca="false">+E6*18%</f>
        <v>2270.8152</v>
      </c>
      <c r="G6" s="49" t="n">
        <f aca="false">+F6*5%</f>
        <v>113.54076</v>
      </c>
      <c r="H6" s="47" t="n">
        <f aca="false">+E6+F6+G6</f>
        <v>14999.99596</v>
      </c>
    </row>
    <row r="7" s="36" customFormat="true" ht="18" hidden="false" customHeight="true" outlineLevel="0" collapsed="false">
      <c r="A7" s="43" t="s">
        <v>128</v>
      </c>
      <c r="B7" s="6" t="n">
        <v>46028</v>
      </c>
      <c r="C7" s="43" t="s">
        <v>140</v>
      </c>
      <c r="D7" s="48" t="s">
        <v>80</v>
      </c>
      <c r="E7" s="47" t="n">
        <v>4600</v>
      </c>
      <c r="F7" s="49"/>
      <c r="G7" s="49"/>
      <c r="H7" s="47" t="n">
        <f aca="false">+E7+F7+G7</f>
        <v>4600</v>
      </c>
    </row>
    <row r="8" s="36" customFormat="true" ht="18" hidden="false" customHeight="true" outlineLevel="0" collapsed="false">
      <c r="A8" s="5" t="s">
        <v>141</v>
      </c>
      <c r="B8" s="6" t="n">
        <v>46029</v>
      </c>
      <c r="C8" s="43" t="s">
        <v>142</v>
      </c>
      <c r="D8" s="7" t="s">
        <v>143</v>
      </c>
      <c r="E8" s="47" t="n">
        <v>250000</v>
      </c>
      <c r="F8" s="48"/>
      <c r="G8" s="48"/>
      <c r="H8" s="47" t="n">
        <f aca="false">+E8+F8+G8</f>
        <v>250000</v>
      </c>
    </row>
    <row r="9" s="36" customFormat="true" ht="18" hidden="false" customHeight="true" outlineLevel="0" collapsed="false">
      <c r="A9" s="43" t="s">
        <v>128</v>
      </c>
      <c r="B9" s="44" t="n">
        <v>46029</v>
      </c>
      <c r="C9" s="43" t="s">
        <v>144</v>
      </c>
      <c r="D9" s="46" t="s">
        <v>145</v>
      </c>
      <c r="E9" s="46" t="n">
        <v>72500</v>
      </c>
      <c r="F9" s="46"/>
      <c r="G9" s="46"/>
      <c r="H9" s="47" t="n">
        <f aca="false">+E9+F9+G9</f>
        <v>72500</v>
      </c>
    </row>
    <row r="10" s="36" customFormat="true" ht="18" hidden="false" customHeight="true" outlineLevel="0" collapsed="false">
      <c r="A10" s="43" t="s">
        <v>146</v>
      </c>
      <c r="B10" s="44" t="n">
        <v>46029</v>
      </c>
      <c r="C10" s="43" t="s">
        <v>147</v>
      </c>
      <c r="D10" s="48" t="s">
        <v>80</v>
      </c>
      <c r="E10" s="46" t="n">
        <v>22000</v>
      </c>
      <c r="F10" s="46"/>
      <c r="G10" s="46"/>
      <c r="H10" s="47" t="n">
        <f aca="false">+E10+F10+G10</f>
        <v>22000</v>
      </c>
    </row>
    <row r="11" s="36" customFormat="true" ht="18" hidden="false" customHeight="true" outlineLevel="0" collapsed="false">
      <c r="A11" s="43" t="s">
        <v>128</v>
      </c>
      <c r="B11" s="44" t="n">
        <v>46034</v>
      </c>
      <c r="C11" s="43" t="s">
        <v>144</v>
      </c>
      <c r="D11" s="48" t="s">
        <v>80</v>
      </c>
      <c r="E11" s="50" t="n">
        <v>40900</v>
      </c>
      <c r="F11" s="46"/>
      <c r="G11" s="46"/>
      <c r="H11" s="47" t="n">
        <f aca="false">+E11+F11+G11</f>
        <v>40900</v>
      </c>
    </row>
    <row r="12" s="36" customFormat="true" ht="18" hidden="false" customHeight="true" outlineLevel="0" collapsed="false">
      <c r="A12" s="43" t="s">
        <v>146</v>
      </c>
      <c r="B12" s="44" t="n">
        <v>46034</v>
      </c>
      <c r="C12" s="43" t="s">
        <v>148</v>
      </c>
      <c r="D12" s="48" t="s">
        <v>80</v>
      </c>
      <c r="E12" s="50" t="n">
        <v>18000</v>
      </c>
      <c r="F12" s="46"/>
      <c r="G12" s="46"/>
      <c r="H12" s="47" t="n">
        <f aca="false">+E12+F12+G12</f>
        <v>18000</v>
      </c>
    </row>
    <row r="13" s="36" customFormat="true" ht="18" hidden="false" customHeight="true" outlineLevel="0" collapsed="false">
      <c r="A13" s="43" t="s">
        <v>128</v>
      </c>
      <c r="B13" s="44" t="n">
        <v>46034</v>
      </c>
      <c r="C13" s="43" t="s">
        <v>149</v>
      </c>
      <c r="D13" s="48" t="s">
        <v>80</v>
      </c>
      <c r="E13" s="50" t="n">
        <v>10000</v>
      </c>
      <c r="F13" s="46"/>
      <c r="G13" s="46"/>
      <c r="H13" s="47" t="n">
        <f aca="false">+E13+F13+G13</f>
        <v>10000</v>
      </c>
    </row>
    <row r="14" s="36" customFormat="true" ht="18" hidden="false" customHeight="true" outlineLevel="0" collapsed="false">
      <c r="A14" s="43" t="s">
        <v>128</v>
      </c>
      <c r="B14" s="44" t="n">
        <v>46035</v>
      </c>
      <c r="C14" s="43" t="s">
        <v>144</v>
      </c>
      <c r="D14" s="48" t="s">
        <v>150</v>
      </c>
      <c r="E14" s="47" t="n">
        <v>10600</v>
      </c>
      <c r="F14" s="49" t="n">
        <f aca="false">+E14*18%</f>
        <v>1908</v>
      </c>
      <c r="G14" s="49" t="n">
        <f aca="false">+F14*5%</f>
        <v>95.4</v>
      </c>
      <c r="H14" s="47" t="n">
        <f aca="false">+E14+F14+G14</f>
        <v>12603.4</v>
      </c>
    </row>
    <row r="15" s="36" customFormat="true" ht="18" hidden="false" customHeight="true" outlineLevel="0" collapsed="false">
      <c r="A15" s="43" t="s">
        <v>128</v>
      </c>
      <c r="B15" s="44" t="n">
        <v>46035</v>
      </c>
      <c r="C15" s="43" t="s">
        <v>144</v>
      </c>
      <c r="D15" s="48" t="s">
        <v>151</v>
      </c>
      <c r="E15" s="47" t="n">
        <v>16000</v>
      </c>
      <c r="F15" s="49"/>
      <c r="G15" s="49"/>
      <c r="H15" s="47" t="n">
        <f aca="false">+E15+F15+G15</f>
        <v>16000</v>
      </c>
    </row>
    <row r="16" s="36" customFormat="true" ht="18" hidden="false" customHeight="true" outlineLevel="0" collapsed="false">
      <c r="A16" s="43" t="s">
        <v>128</v>
      </c>
      <c r="B16" s="44" t="n">
        <v>46035</v>
      </c>
      <c r="C16" s="43" t="s">
        <v>144</v>
      </c>
      <c r="D16" s="48" t="s">
        <v>152</v>
      </c>
      <c r="E16" s="47" t="n">
        <v>17662</v>
      </c>
      <c r="F16" s="49" t="n">
        <f aca="false">+E16*18%</f>
        <v>3179.16</v>
      </c>
      <c r="G16" s="49" t="n">
        <f aca="false">+F16*5%</f>
        <v>158.958</v>
      </c>
      <c r="H16" s="47" t="n">
        <f aca="false">+E16+F16+G16</f>
        <v>21000.118</v>
      </c>
    </row>
    <row r="17" s="36" customFormat="true" ht="18" hidden="false" customHeight="true" outlineLevel="0" collapsed="false">
      <c r="A17" s="43" t="s">
        <v>153</v>
      </c>
      <c r="B17" s="44" t="n">
        <v>46037</v>
      </c>
      <c r="C17" s="43" t="s">
        <v>154</v>
      </c>
      <c r="D17" s="48" t="s">
        <v>155</v>
      </c>
      <c r="E17" s="47" t="n">
        <v>12000</v>
      </c>
      <c r="F17" s="49"/>
      <c r="G17" s="49"/>
      <c r="H17" s="47" t="n">
        <f aca="false">+E17+F17+G17</f>
        <v>12000</v>
      </c>
    </row>
    <row r="18" s="36" customFormat="true" ht="18" hidden="false" customHeight="true" outlineLevel="0" collapsed="false">
      <c r="A18" s="43" t="s">
        <v>128</v>
      </c>
      <c r="B18" s="44" t="n">
        <v>46038</v>
      </c>
      <c r="C18" s="43" t="s">
        <v>144</v>
      </c>
      <c r="D18" s="48" t="s">
        <v>130</v>
      </c>
      <c r="E18" s="47" t="n">
        <v>11400</v>
      </c>
      <c r="F18" s="49"/>
      <c r="G18" s="49"/>
      <c r="H18" s="47" t="n">
        <f aca="false">+E18+F18+G18</f>
        <v>11400</v>
      </c>
    </row>
    <row r="19" s="36" customFormat="true" ht="18" hidden="false" customHeight="true" outlineLevel="0" collapsed="false">
      <c r="A19" s="43" t="s">
        <v>153</v>
      </c>
      <c r="B19" s="44" t="n">
        <v>46038</v>
      </c>
      <c r="C19" s="43" t="s">
        <v>156</v>
      </c>
      <c r="D19" s="48" t="s">
        <v>157</v>
      </c>
      <c r="E19" s="47" t="n">
        <v>10000</v>
      </c>
      <c r="F19" s="49"/>
      <c r="G19" s="49"/>
      <c r="H19" s="47" t="n">
        <f aca="false">+E19+F19+G19</f>
        <v>10000</v>
      </c>
    </row>
    <row r="20" s="36" customFormat="true" ht="18" hidden="false" customHeight="true" outlineLevel="0" collapsed="false">
      <c r="A20" s="43" t="s">
        <v>128</v>
      </c>
      <c r="B20" s="44" t="n">
        <v>46041</v>
      </c>
      <c r="C20" s="43" t="s">
        <v>158</v>
      </c>
      <c r="D20" s="48" t="s">
        <v>159</v>
      </c>
      <c r="E20" s="47" t="n">
        <v>3000</v>
      </c>
      <c r="F20" s="49"/>
      <c r="G20" s="49"/>
      <c r="H20" s="47" t="n">
        <f aca="false">+E20+F20+G20</f>
        <v>3000</v>
      </c>
    </row>
    <row r="21" s="36" customFormat="true" ht="18" hidden="false" customHeight="true" outlineLevel="0" collapsed="false">
      <c r="A21" s="43" t="s">
        <v>128</v>
      </c>
      <c r="B21" s="44" t="n">
        <v>46041</v>
      </c>
      <c r="C21" s="43" t="s">
        <v>160</v>
      </c>
      <c r="D21" s="48" t="s">
        <v>161</v>
      </c>
      <c r="E21" s="47" t="n">
        <v>7500</v>
      </c>
      <c r="F21" s="49"/>
      <c r="G21" s="49"/>
      <c r="H21" s="47" t="n">
        <f aca="false">+E21+F21+G21</f>
        <v>7500</v>
      </c>
    </row>
    <row r="22" s="36" customFormat="true" ht="18" hidden="false" customHeight="true" outlineLevel="0" collapsed="false">
      <c r="A22" s="43" t="s">
        <v>146</v>
      </c>
      <c r="B22" s="44" t="n">
        <v>46041</v>
      </c>
      <c r="C22" s="43" t="s">
        <v>162</v>
      </c>
      <c r="D22" s="48" t="s">
        <v>80</v>
      </c>
      <c r="E22" s="47" t="n">
        <v>16000</v>
      </c>
      <c r="F22" s="49"/>
      <c r="G22" s="49"/>
      <c r="H22" s="47" t="n">
        <f aca="false">+E22+F22+G22</f>
        <v>16000</v>
      </c>
    </row>
    <row r="23" s="36" customFormat="true" ht="18" hidden="false" customHeight="true" outlineLevel="0" collapsed="false">
      <c r="A23" s="43" t="s">
        <v>12</v>
      </c>
      <c r="B23" s="44" t="n">
        <v>46044</v>
      </c>
      <c r="C23" s="43" t="s">
        <v>163</v>
      </c>
      <c r="D23" s="48" t="s">
        <v>164</v>
      </c>
      <c r="E23" s="47" t="n">
        <v>16819</v>
      </c>
      <c r="F23" s="49" t="n">
        <f aca="false">+E23*18%</f>
        <v>3027.42</v>
      </c>
      <c r="G23" s="49" t="n">
        <f aca="false">+F23*5%</f>
        <v>151.371</v>
      </c>
      <c r="H23" s="47" t="n">
        <f aca="false">+E23+F23+G23</f>
        <v>19997.791</v>
      </c>
    </row>
    <row r="24" s="36" customFormat="true" ht="18" hidden="false" customHeight="true" outlineLevel="0" collapsed="false">
      <c r="A24" s="43" t="s">
        <v>12</v>
      </c>
      <c r="B24" s="44" t="n">
        <v>46045</v>
      </c>
      <c r="C24" s="43" t="s">
        <v>149</v>
      </c>
      <c r="D24" s="48" t="s">
        <v>80</v>
      </c>
      <c r="E24" s="47" t="n">
        <v>25000</v>
      </c>
      <c r="F24" s="49"/>
      <c r="G24" s="49"/>
      <c r="H24" s="47" t="n">
        <f aca="false">+E24+F24+G24</f>
        <v>25000</v>
      </c>
    </row>
    <row r="25" s="36" customFormat="true" ht="18" hidden="false" customHeight="true" outlineLevel="0" collapsed="false">
      <c r="A25" s="43" t="s">
        <v>128</v>
      </c>
      <c r="B25" s="44" t="n">
        <v>46048</v>
      </c>
      <c r="C25" s="43" t="s">
        <v>165</v>
      </c>
      <c r="D25" s="48" t="s">
        <v>80</v>
      </c>
      <c r="E25" s="47" t="n">
        <v>6000</v>
      </c>
      <c r="F25" s="49"/>
      <c r="G25" s="49"/>
      <c r="H25" s="47" t="n">
        <f aca="false">+E25+F25+G25</f>
        <v>6000</v>
      </c>
    </row>
    <row r="26" s="36" customFormat="true" ht="18" hidden="false" customHeight="true" outlineLevel="0" collapsed="false">
      <c r="A26" s="43" t="s">
        <v>166</v>
      </c>
      <c r="B26" s="44" t="n">
        <v>46050</v>
      </c>
      <c r="C26" s="43" t="s">
        <v>167</v>
      </c>
      <c r="D26" s="48" t="s">
        <v>168</v>
      </c>
      <c r="E26" s="48" t="n">
        <v>23100</v>
      </c>
      <c r="F26" s="48"/>
      <c r="G26" s="48"/>
      <c r="H26" s="47" t="n">
        <f aca="false">+E26+F26+G26</f>
        <v>23100</v>
      </c>
    </row>
    <row r="27" s="36" customFormat="true" ht="18" hidden="false" customHeight="true" outlineLevel="0" collapsed="false">
      <c r="A27" s="43" t="s">
        <v>146</v>
      </c>
      <c r="B27" s="44" t="n">
        <v>46050</v>
      </c>
      <c r="C27" s="43" t="s">
        <v>169</v>
      </c>
      <c r="D27" s="48" t="s">
        <v>80</v>
      </c>
      <c r="E27" s="48" t="n">
        <v>12000</v>
      </c>
      <c r="F27" s="48"/>
      <c r="G27" s="48"/>
      <c r="H27" s="47" t="n">
        <f aca="false">+E27+F27+G27</f>
        <v>12000</v>
      </c>
    </row>
    <row r="28" s="36" customFormat="true" ht="18" hidden="false" customHeight="true" outlineLevel="0" collapsed="false">
      <c r="A28" s="43" t="s">
        <v>146</v>
      </c>
      <c r="B28" s="6" t="n">
        <v>46055</v>
      </c>
      <c r="C28" s="43" t="s">
        <v>148</v>
      </c>
      <c r="D28" s="48" t="s">
        <v>80</v>
      </c>
      <c r="E28" s="48" t="n">
        <v>16000</v>
      </c>
      <c r="F28" s="49"/>
      <c r="G28" s="49"/>
      <c r="H28" s="47" t="n">
        <f aca="false">+E28+F28+G28</f>
        <v>16000</v>
      </c>
    </row>
    <row r="29" s="36" customFormat="true" ht="18" hidden="false" customHeight="true" outlineLevel="0" collapsed="false">
      <c r="A29" s="43" t="s">
        <v>166</v>
      </c>
      <c r="B29" s="6" t="n">
        <v>46055</v>
      </c>
      <c r="C29" s="43" t="s">
        <v>170</v>
      </c>
      <c r="D29" s="48" t="s">
        <v>171</v>
      </c>
      <c r="E29" s="48" t="n">
        <v>375000</v>
      </c>
      <c r="F29" s="49"/>
      <c r="G29" s="49"/>
      <c r="H29" s="47" t="n">
        <f aca="false">+E29+F29+G29</f>
        <v>375000</v>
      </c>
    </row>
    <row r="30" s="36" customFormat="true" ht="18" hidden="false" customHeight="true" outlineLevel="0" collapsed="false">
      <c r="A30" s="43" t="s">
        <v>166</v>
      </c>
      <c r="B30" s="6" t="n">
        <v>46056</v>
      </c>
      <c r="C30" s="43" t="s">
        <v>172</v>
      </c>
      <c r="D30" s="48" t="s">
        <v>80</v>
      </c>
      <c r="E30" s="48" t="n">
        <v>5925</v>
      </c>
      <c r="F30" s="49"/>
      <c r="G30" s="49"/>
      <c r="H30" s="47" t="n">
        <f aca="false">+E30+F30+G30</f>
        <v>5925</v>
      </c>
    </row>
    <row r="31" s="36" customFormat="true" ht="18" hidden="false" customHeight="true" outlineLevel="0" collapsed="false">
      <c r="A31" s="5" t="s">
        <v>173</v>
      </c>
      <c r="B31" s="6" t="n">
        <v>46058</v>
      </c>
      <c r="C31" s="43" t="s">
        <v>174</v>
      </c>
      <c r="D31" s="7" t="s">
        <v>139</v>
      </c>
      <c r="E31" s="48" t="n">
        <v>12615.64</v>
      </c>
      <c r="F31" s="49" t="n">
        <f aca="false">+E31*18%</f>
        <v>2270.8152</v>
      </c>
      <c r="G31" s="49" t="n">
        <f aca="false">+F31*5%</f>
        <v>113.54076</v>
      </c>
      <c r="H31" s="47" t="n">
        <f aca="false">+E31+F31+G31</f>
        <v>14999.99596</v>
      </c>
    </row>
    <row r="32" s="36" customFormat="true" ht="18" hidden="false" customHeight="true" outlineLevel="0" collapsed="false">
      <c r="A32" s="43" t="s">
        <v>12</v>
      </c>
      <c r="B32" s="6" t="n">
        <v>46058</v>
      </c>
      <c r="C32" s="43" t="s">
        <v>175</v>
      </c>
      <c r="D32" s="7" t="s">
        <v>176</v>
      </c>
      <c r="E32" s="48" t="n">
        <v>25000</v>
      </c>
      <c r="F32" s="49"/>
      <c r="G32" s="49"/>
      <c r="H32" s="47" t="n">
        <f aca="false">+E32+F32+G32</f>
        <v>25000</v>
      </c>
    </row>
    <row r="33" s="36" customFormat="true" ht="18" hidden="false" customHeight="true" outlineLevel="0" collapsed="false">
      <c r="A33" s="43" t="s">
        <v>166</v>
      </c>
      <c r="B33" s="6" t="n">
        <v>46058</v>
      </c>
      <c r="C33" s="43" t="s">
        <v>177</v>
      </c>
      <c r="D33" s="7" t="s">
        <v>80</v>
      </c>
      <c r="E33" s="48" t="n">
        <v>100000</v>
      </c>
      <c r="F33" s="49"/>
      <c r="G33" s="49"/>
      <c r="H33" s="47" t="n">
        <f aca="false">+E33+F33+G33</f>
        <v>100000</v>
      </c>
    </row>
    <row r="34" s="36" customFormat="true" ht="18" hidden="false" customHeight="true" outlineLevel="0" collapsed="false">
      <c r="A34" s="5" t="s">
        <v>178</v>
      </c>
      <c r="B34" s="6" t="n">
        <v>46059</v>
      </c>
      <c r="C34" s="43" t="s">
        <v>179</v>
      </c>
      <c r="D34" s="7" t="s">
        <v>180</v>
      </c>
      <c r="E34" s="47" t="n">
        <v>168500</v>
      </c>
      <c r="F34" s="49"/>
      <c r="G34" s="49"/>
      <c r="H34" s="47" t="n">
        <f aca="false">+E34</f>
        <v>168500</v>
      </c>
    </row>
    <row r="35" s="36" customFormat="true" ht="18" hidden="false" customHeight="true" outlineLevel="0" collapsed="false">
      <c r="A35" s="43" t="s">
        <v>166</v>
      </c>
      <c r="B35" s="6" t="n">
        <v>46059</v>
      </c>
      <c r="C35" s="43" t="s">
        <v>181</v>
      </c>
      <c r="D35" s="7" t="s">
        <v>182</v>
      </c>
      <c r="E35" s="47" t="n">
        <v>25000</v>
      </c>
      <c r="F35" s="49"/>
      <c r="G35" s="49"/>
      <c r="H35" s="47" t="n">
        <f aca="false">+E35</f>
        <v>25000</v>
      </c>
    </row>
    <row r="36" s="36" customFormat="true" ht="18" hidden="false" customHeight="true" outlineLevel="0" collapsed="false">
      <c r="A36" s="5" t="s">
        <v>153</v>
      </c>
      <c r="B36" s="6" t="n">
        <v>46060</v>
      </c>
      <c r="C36" s="43" t="s">
        <v>183</v>
      </c>
      <c r="D36" s="7" t="s">
        <v>184</v>
      </c>
      <c r="E36" s="47" t="n">
        <v>4925</v>
      </c>
      <c r="F36" s="49"/>
      <c r="G36" s="49"/>
      <c r="H36" s="47" t="n">
        <f aca="false">+E36</f>
        <v>4925</v>
      </c>
    </row>
    <row r="37" s="36" customFormat="true" ht="18" hidden="false" customHeight="true" outlineLevel="0" collapsed="false">
      <c r="A37" s="5" t="s">
        <v>153</v>
      </c>
      <c r="B37" s="6" t="n">
        <v>46060</v>
      </c>
      <c r="C37" s="43" t="s">
        <v>185</v>
      </c>
      <c r="D37" s="7" t="s">
        <v>184</v>
      </c>
      <c r="E37" s="47" t="n">
        <v>1000</v>
      </c>
      <c r="F37" s="49"/>
      <c r="G37" s="49"/>
      <c r="H37" s="47" t="n">
        <f aca="false">+E37</f>
        <v>1000</v>
      </c>
    </row>
    <row r="38" s="36" customFormat="true" ht="18" hidden="false" customHeight="true" outlineLevel="0" collapsed="false">
      <c r="A38" s="5" t="s">
        <v>153</v>
      </c>
      <c r="B38" s="6" t="n">
        <v>46060</v>
      </c>
      <c r="C38" s="43" t="s">
        <v>186</v>
      </c>
      <c r="D38" s="7" t="s">
        <v>150</v>
      </c>
      <c r="E38" s="47" t="n">
        <v>1950</v>
      </c>
      <c r="F38" s="49"/>
      <c r="G38" s="49"/>
      <c r="H38" s="47" t="n">
        <f aca="false">+E38</f>
        <v>1950</v>
      </c>
    </row>
    <row r="39" s="36" customFormat="true" ht="18" hidden="false" customHeight="true" outlineLevel="0" collapsed="false">
      <c r="A39" s="5" t="s">
        <v>128</v>
      </c>
      <c r="B39" s="6" t="n">
        <v>46060</v>
      </c>
      <c r="C39" s="43" t="s">
        <v>187</v>
      </c>
      <c r="D39" s="7" t="s">
        <v>188</v>
      </c>
      <c r="E39" s="47" t="n">
        <v>45000</v>
      </c>
      <c r="F39" s="49"/>
      <c r="G39" s="49"/>
      <c r="H39" s="47" t="n">
        <f aca="false">+E39</f>
        <v>45000</v>
      </c>
    </row>
    <row r="40" s="36" customFormat="true" ht="18" hidden="false" customHeight="true" outlineLevel="0" collapsed="false">
      <c r="A40" s="5" t="s">
        <v>141</v>
      </c>
      <c r="B40" s="6" t="n">
        <v>46063</v>
      </c>
      <c r="C40" s="43" t="s">
        <v>189</v>
      </c>
      <c r="D40" s="7" t="s">
        <v>143</v>
      </c>
      <c r="E40" s="47" t="n">
        <v>250000</v>
      </c>
      <c r="F40" s="49"/>
      <c r="G40" s="49"/>
      <c r="H40" s="47" t="n">
        <f aca="false">+E40</f>
        <v>250000</v>
      </c>
    </row>
    <row r="41" s="36" customFormat="true" ht="18" hidden="false" customHeight="true" outlineLevel="0" collapsed="false">
      <c r="A41" s="5" t="s">
        <v>178</v>
      </c>
      <c r="B41" s="6" t="n">
        <v>46064</v>
      </c>
      <c r="C41" s="43" t="s">
        <v>190</v>
      </c>
      <c r="D41" s="7" t="s">
        <v>191</v>
      </c>
      <c r="E41" s="47" t="n">
        <v>40000</v>
      </c>
      <c r="F41" s="48"/>
      <c r="G41" s="48"/>
      <c r="H41" s="47" t="n">
        <f aca="false">+E41</f>
        <v>40000</v>
      </c>
    </row>
    <row r="42" s="36" customFormat="true" ht="18" hidden="false" customHeight="true" outlineLevel="0" collapsed="false">
      <c r="A42" s="5" t="s">
        <v>128</v>
      </c>
      <c r="B42" s="6" t="n">
        <v>46069</v>
      </c>
      <c r="C42" s="43" t="s">
        <v>192</v>
      </c>
      <c r="D42" s="7" t="s">
        <v>193</v>
      </c>
      <c r="E42" s="47" t="n">
        <v>4000</v>
      </c>
      <c r="F42" s="48"/>
      <c r="G42" s="48"/>
      <c r="H42" s="47" t="n">
        <f aca="false">+E42</f>
        <v>4000</v>
      </c>
    </row>
    <row r="43" s="36" customFormat="true" ht="18" hidden="false" customHeight="true" outlineLevel="0" collapsed="false">
      <c r="A43" s="5" t="s">
        <v>128</v>
      </c>
      <c r="B43" s="6" t="n">
        <v>46069</v>
      </c>
      <c r="C43" s="43" t="s">
        <v>194</v>
      </c>
      <c r="D43" s="7" t="s">
        <v>188</v>
      </c>
      <c r="E43" s="47" t="n">
        <v>18000</v>
      </c>
      <c r="F43" s="48"/>
      <c r="G43" s="48"/>
      <c r="H43" s="47" t="n">
        <f aca="false">+E43</f>
        <v>18000</v>
      </c>
    </row>
    <row r="44" s="36" customFormat="true" ht="18" hidden="false" customHeight="true" outlineLevel="0" collapsed="false">
      <c r="A44" s="5" t="s">
        <v>128</v>
      </c>
      <c r="B44" s="6" t="n">
        <v>46069</v>
      </c>
      <c r="C44" s="43" t="s">
        <v>195</v>
      </c>
      <c r="D44" s="7" t="s">
        <v>196</v>
      </c>
      <c r="E44" s="47" t="n">
        <v>1000</v>
      </c>
      <c r="F44" s="48"/>
      <c r="G44" s="48"/>
      <c r="H44" s="47" t="n">
        <f aca="false">+E44</f>
        <v>1000</v>
      </c>
    </row>
    <row r="45" s="36" customFormat="true" ht="18" hidden="false" customHeight="true" outlineLevel="0" collapsed="false">
      <c r="A45" s="5" t="s">
        <v>128</v>
      </c>
      <c r="B45" s="6" t="n">
        <v>46070</v>
      </c>
      <c r="C45" s="43" t="s">
        <v>197</v>
      </c>
      <c r="D45" s="7" t="s">
        <v>198</v>
      </c>
      <c r="E45" s="47" t="n">
        <v>9000</v>
      </c>
      <c r="F45" s="48"/>
      <c r="G45" s="48"/>
      <c r="H45" s="47" t="n">
        <f aca="false">+E45</f>
        <v>9000</v>
      </c>
    </row>
    <row r="46" s="36" customFormat="true" ht="18" hidden="false" customHeight="true" outlineLevel="0" collapsed="false">
      <c r="A46" s="5" t="s">
        <v>128</v>
      </c>
      <c r="B46" s="6" t="n">
        <v>46070</v>
      </c>
      <c r="C46" s="43" t="s">
        <v>165</v>
      </c>
      <c r="D46" s="7" t="s">
        <v>184</v>
      </c>
      <c r="E46" s="47" t="n">
        <v>5400</v>
      </c>
      <c r="F46" s="48"/>
      <c r="G46" s="48"/>
      <c r="H46" s="47" t="n">
        <f aca="false">+E46</f>
        <v>5400</v>
      </c>
    </row>
    <row r="47" s="36" customFormat="true" ht="18" hidden="false" customHeight="true" outlineLevel="0" collapsed="false">
      <c r="A47" s="5" t="s">
        <v>128</v>
      </c>
      <c r="B47" s="6" t="n">
        <v>46070</v>
      </c>
      <c r="C47" s="43" t="s">
        <v>199</v>
      </c>
      <c r="D47" s="7" t="s">
        <v>200</v>
      </c>
      <c r="E47" s="47" t="n">
        <v>10400</v>
      </c>
      <c r="F47" s="48"/>
      <c r="G47" s="48"/>
      <c r="H47" s="47" t="n">
        <f aca="false">+E47</f>
        <v>10400</v>
      </c>
    </row>
    <row r="48" s="36" customFormat="true" ht="18" hidden="false" customHeight="true" outlineLevel="0" collapsed="false">
      <c r="A48" s="5" t="s">
        <v>201</v>
      </c>
      <c r="B48" s="6" t="n">
        <v>46072</v>
      </c>
      <c r="C48" s="43" t="s">
        <v>202</v>
      </c>
      <c r="D48" s="7" t="s">
        <v>203</v>
      </c>
      <c r="E48" s="47" t="n">
        <v>35235</v>
      </c>
      <c r="F48" s="49" t="n">
        <f aca="false">+E48*18%</f>
        <v>6342.3</v>
      </c>
      <c r="G48" s="49" t="n">
        <f aca="false">+F48*5%</f>
        <v>317.115</v>
      </c>
      <c r="H48" s="47" t="n">
        <f aca="false">+E48+F48+G48+1000</f>
        <v>42894.415</v>
      </c>
    </row>
    <row r="49" s="36" customFormat="true" ht="18" hidden="false" customHeight="true" outlineLevel="0" collapsed="false">
      <c r="A49" s="5" t="s">
        <v>128</v>
      </c>
      <c r="B49" s="6" t="n">
        <v>46073</v>
      </c>
      <c r="C49" s="43" t="s">
        <v>197</v>
      </c>
      <c r="D49" s="7" t="s">
        <v>198</v>
      </c>
      <c r="E49" s="47" t="n">
        <v>3000</v>
      </c>
      <c r="F49" s="49"/>
      <c r="G49" s="49"/>
      <c r="H49" s="47" t="n">
        <f aca="false">+E49+F49+G49</f>
        <v>3000</v>
      </c>
    </row>
    <row r="50" s="36" customFormat="true" ht="18" hidden="false" customHeight="true" outlineLevel="0" collapsed="false">
      <c r="A50" s="5" t="s">
        <v>128</v>
      </c>
      <c r="B50" s="6" t="n">
        <v>46073</v>
      </c>
      <c r="C50" s="43" t="s">
        <v>194</v>
      </c>
      <c r="D50" s="7" t="s">
        <v>188</v>
      </c>
      <c r="E50" s="47" t="n">
        <v>4200</v>
      </c>
      <c r="F50" s="49"/>
      <c r="G50" s="49"/>
      <c r="H50" s="47" t="n">
        <f aca="false">+E50+F50+G50</f>
        <v>4200</v>
      </c>
    </row>
    <row r="51" s="36" customFormat="true" ht="18" hidden="false" customHeight="true" outlineLevel="0" collapsed="false">
      <c r="A51" s="5" t="s">
        <v>128</v>
      </c>
      <c r="B51" s="6" t="n">
        <v>46073</v>
      </c>
      <c r="C51" s="43" t="s">
        <v>194</v>
      </c>
      <c r="D51" s="7" t="s">
        <v>188</v>
      </c>
      <c r="E51" s="47" t="n">
        <v>7800</v>
      </c>
      <c r="F51" s="49"/>
      <c r="G51" s="49"/>
      <c r="H51" s="47" t="n">
        <f aca="false">+E51+F51+G51</f>
        <v>7800</v>
      </c>
    </row>
    <row r="52" s="36" customFormat="true" ht="18" hidden="false" customHeight="true" outlineLevel="0" collapsed="false">
      <c r="A52" s="5" t="s">
        <v>128</v>
      </c>
      <c r="B52" s="6" t="n">
        <v>46074</v>
      </c>
      <c r="C52" s="43" t="s">
        <v>204</v>
      </c>
      <c r="D52" s="7" t="s">
        <v>196</v>
      </c>
      <c r="E52" s="7" t="n">
        <v>3000</v>
      </c>
      <c r="F52" s="49"/>
      <c r="G52" s="49"/>
      <c r="H52" s="47" t="n">
        <f aca="false">+E52+F52+G52</f>
        <v>3000</v>
      </c>
    </row>
    <row r="53" s="36" customFormat="true" ht="18" hidden="false" customHeight="true" outlineLevel="0" collapsed="false">
      <c r="A53" s="5" t="s">
        <v>128</v>
      </c>
      <c r="B53" s="6" t="n">
        <v>46074</v>
      </c>
      <c r="C53" s="43" t="s">
        <v>205</v>
      </c>
      <c r="D53" s="7" t="s">
        <v>188</v>
      </c>
      <c r="E53" s="47" t="n">
        <v>1000</v>
      </c>
      <c r="F53" s="49"/>
      <c r="G53" s="49"/>
      <c r="H53" s="47" t="n">
        <f aca="false">+E53+F53+G53</f>
        <v>1000</v>
      </c>
    </row>
    <row r="54" s="36" customFormat="true" ht="18" hidden="false" customHeight="true" outlineLevel="0" collapsed="false">
      <c r="A54" s="5" t="s">
        <v>12</v>
      </c>
      <c r="B54" s="6" t="n">
        <v>46074</v>
      </c>
      <c r="C54" s="43" t="s">
        <v>206</v>
      </c>
      <c r="D54" s="7" t="s">
        <v>80</v>
      </c>
      <c r="E54" s="47" t="n">
        <v>10000</v>
      </c>
      <c r="F54" s="49"/>
      <c r="G54" s="49"/>
      <c r="H54" s="47" t="n">
        <f aca="false">+E54+F54+G54</f>
        <v>10000</v>
      </c>
    </row>
    <row r="55" s="36" customFormat="true" ht="18" hidden="false" customHeight="true" outlineLevel="0" collapsed="false">
      <c r="A55" s="43" t="s">
        <v>146</v>
      </c>
      <c r="B55" s="6" t="n">
        <v>46074</v>
      </c>
      <c r="C55" s="43" t="s">
        <v>148</v>
      </c>
      <c r="D55" s="7" t="s">
        <v>80</v>
      </c>
      <c r="E55" s="47" t="n">
        <v>15000</v>
      </c>
      <c r="F55" s="49"/>
      <c r="G55" s="49"/>
      <c r="H55" s="47" t="n">
        <f aca="false">+E55+F55+G55</f>
        <v>15000</v>
      </c>
    </row>
    <row r="56" s="36" customFormat="true" ht="18" hidden="false" customHeight="true" outlineLevel="0" collapsed="false">
      <c r="A56" s="43" t="s">
        <v>146</v>
      </c>
      <c r="B56" s="6" t="n">
        <v>46076</v>
      </c>
      <c r="C56" s="43" t="s">
        <v>148</v>
      </c>
      <c r="D56" s="48" t="s">
        <v>80</v>
      </c>
      <c r="E56" s="47" t="n">
        <v>11000</v>
      </c>
      <c r="F56" s="49"/>
      <c r="G56" s="49"/>
      <c r="H56" s="47" t="n">
        <f aca="false">+E56+F56+G56</f>
        <v>11000</v>
      </c>
    </row>
    <row r="57" s="36" customFormat="true" ht="18" hidden="false" customHeight="true" outlineLevel="0" collapsed="false">
      <c r="A57" s="5" t="s">
        <v>128</v>
      </c>
      <c r="B57" s="6" t="n">
        <v>46079</v>
      </c>
      <c r="C57" s="43" t="s">
        <v>207</v>
      </c>
      <c r="D57" s="48" t="s">
        <v>208</v>
      </c>
      <c r="E57" s="47" t="n">
        <v>15000</v>
      </c>
      <c r="F57" s="49"/>
      <c r="G57" s="49"/>
      <c r="H57" s="47" t="n">
        <f aca="false">+E57+F57+G57</f>
        <v>15000</v>
      </c>
    </row>
    <row r="58" s="36" customFormat="true" ht="18" hidden="false" customHeight="true" outlineLevel="0" collapsed="false">
      <c r="A58" s="5" t="s">
        <v>128</v>
      </c>
      <c r="B58" s="6" t="n">
        <v>46080</v>
      </c>
      <c r="C58" s="43" t="s">
        <v>209</v>
      </c>
      <c r="D58" s="7" t="s">
        <v>210</v>
      </c>
      <c r="E58" s="48" t="n">
        <v>5500</v>
      </c>
      <c r="F58" s="7"/>
      <c r="G58" s="7"/>
      <c r="H58" s="47" t="n">
        <f aca="false">+E58+F58+G58</f>
        <v>5500</v>
      </c>
    </row>
    <row r="59" s="36" customFormat="true" ht="18" hidden="false" customHeight="true" outlineLevel="0" collapsed="false">
      <c r="A59" s="5" t="s">
        <v>128</v>
      </c>
      <c r="B59" s="6" t="n">
        <v>46080</v>
      </c>
      <c r="C59" s="43" t="s">
        <v>209</v>
      </c>
      <c r="D59" s="7" t="s">
        <v>188</v>
      </c>
      <c r="E59" s="48" t="n">
        <v>3500</v>
      </c>
      <c r="F59" s="7"/>
      <c r="G59" s="7"/>
      <c r="H59" s="47" t="n">
        <f aca="false">+E59+F59+G59</f>
        <v>3500</v>
      </c>
    </row>
    <row r="60" s="36" customFormat="true" ht="18" hidden="false" customHeight="true" outlineLevel="0" collapsed="false">
      <c r="A60" s="5" t="s">
        <v>146</v>
      </c>
      <c r="B60" s="6" t="n">
        <v>46083</v>
      </c>
      <c r="C60" s="5" t="s">
        <v>211</v>
      </c>
      <c r="D60" s="7" t="s">
        <v>212</v>
      </c>
      <c r="E60" s="47" t="n">
        <v>10000</v>
      </c>
      <c r="F60" s="47"/>
      <c r="G60" s="47"/>
      <c r="H60" s="47" t="n">
        <f aca="false">+E60+F60+G60</f>
        <v>10000</v>
      </c>
    </row>
    <row r="61" s="36" customFormat="true" ht="18" hidden="false" customHeight="true" outlineLevel="0" collapsed="false">
      <c r="A61" s="5" t="s">
        <v>128</v>
      </c>
      <c r="B61" s="6" t="n">
        <v>46086</v>
      </c>
      <c r="C61" s="5" t="s">
        <v>213</v>
      </c>
      <c r="D61" s="7" t="s">
        <v>136</v>
      </c>
      <c r="E61" s="47" t="n">
        <v>60000</v>
      </c>
      <c r="F61" s="47"/>
      <c r="G61" s="47"/>
      <c r="H61" s="47" t="n">
        <f aca="false">+E61+F61+G61</f>
        <v>60000</v>
      </c>
    </row>
    <row r="62" s="36" customFormat="true" ht="18" hidden="false" customHeight="true" outlineLevel="0" collapsed="false">
      <c r="A62" s="5" t="s">
        <v>12</v>
      </c>
      <c r="B62" s="6" t="n">
        <v>46090</v>
      </c>
      <c r="C62" s="5" t="s">
        <v>214</v>
      </c>
      <c r="D62" s="7" t="s">
        <v>215</v>
      </c>
      <c r="E62" s="47" t="n">
        <v>30000</v>
      </c>
      <c r="F62" s="47"/>
      <c r="G62" s="47"/>
      <c r="H62" s="47" t="n">
        <f aca="false">+E62+F62+G62</f>
        <v>30000</v>
      </c>
    </row>
    <row r="63" s="36" customFormat="true" ht="18" hidden="false" customHeight="true" outlineLevel="0" collapsed="false">
      <c r="A63" s="5" t="s">
        <v>146</v>
      </c>
      <c r="B63" s="6" t="n">
        <v>46090</v>
      </c>
      <c r="C63" s="5" t="s">
        <v>216</v>
      </c>
      <c r="D63" s="7" t="s">
        <v>212</v>
      </c>
      <c r="E63" s="47" t="n">
        <v>2000</v>
      </c>
      <c r="F63" s="47"/>
      <c r="G63" s="47"/>
      <c r="H63" s="47" t="n">
        <f aca="false">+E63+F63+G63</f>
        <v>2000</v>
      </c>
    </row>
    <row r="64" customFormat="false" ht="18" hidden="false" customHeight="true" outlineLevel="0" collapsed="false">
      <c r="A64" s="5" t="s">
        <v>217</v>
      </c>
      <c r="B64" s="6" t="n">
        <v>46091</v>
      </c>
      <c r="C64" s="5" t="s">
        <v>218</v>
      </c>
      <c r="D64" s="7" t="s">
        <v>219</v>
      </c>
      <c r="E64" s="47" t="n">
        <v>12500</v>
      </c>
      <c r="F64" s="47"/>
      <c r="G64" s="47"/>
      <c r="H64" s="47" t="n">
        <f aca="false">+E64+F64+G64</f>
        <v>12500</v>
      </c>
    </row>
    <row r="65" customFormat="false" ht="18" hidden="false" customHeight="true" outlineLevel="0" collapsed="false">
      <c r="A65" s="5" t="s">
        <v>128</v>
      </c>
      <c r="B65" s="6" t="n">
        <v>46092</v>
      </c>
      <c r="C65" s="5" t="s">
        <v>220</v>
      </c>
      <c r="D65" s="7" t="s">
        <v>221</v>
      </c>
      <c r="E65" s="47" t="n">
        <v>6000</v>
      </c>
      <c r="F65" s="47"/>
      <c r="G65" s="47"/>
      <c r="H65" s="47" t="n">
        <f aca="false">+E65+F65+G65</f>
        <v>6000</v>
      </c>
    </row>
    <row r="66" customFormat="false" ht="18" hidden="false" customHeight="true" outlineLevel="0" collapsed="false">
      <c r="A66" s="5" t="s">
        <v>178</v>
      </c>
      <c r="B66" s="6" t="n">
        <v>46092</v>
      </c>
      <c r="C66" s="5" t="s">
        <v>222</v>
      </c>
      <c r="D66" s="7" t="s">
        <v>212</v>
      </c>
      <c r="E66" s="47" t="n">
        <v>180000</v>
      </c>
      <c r="F66" s="47"/>
      <c r="G66" s="47"/>
      <c r="H66" s="47" t="n">
        <f aca="false">+E66+F66+G66</f>
        <v>180000</v>
      </c>
    </row>
    <row r="67" customFormat="false" ht="18" hidden="false" customHeight="true" outlineLevel="0" collapsed="false">
      <c r="A67" s="5" t="s">
        <v>223</v>
      </c>
      <c r="B67" s="6" t="n">
        <v>46092</v>
      </c>
      <c r="C67" s="5" t="s">
        <v>224</v>
      </c>
      <c r="D67" s="7" t="s">
        <v>143</v>
      </c>
      <c r="E67" s="47" t="n">
        <v>250000</v>
      </c>
      <c r="F67" s="47"/>
      <c r="G67" s="47"/>
      <c r="H67" s="47" t="n">
        <f aca="false">+E67+F67+G67</f>
        <v>250000</v>
      </c>
    </row>
    <row r="68" customFormat="false" ht="18" hidden="false" customHeight="true" outlineLevel="0" collapsed="false">
      <c r="A68" s="5" t="s">
        <v>146</v>
      </c>
      <c r="B68" s="6" t="n">
        <v>46092</v>
      </c>
      <c r="C68" s="5" t="s">
        <v>225</v>
      </c>
      <c r="D68" s="7" t="s">
        <v>226</v>
      </c>
      <c r="E68" s="47" t="n">
        <v>2000</v>
      </c>
      <c r="F68" s="47"/>
      <c r="G68" s="47"/>
      <c r="H68" s="47" t="n">
        <f aca="false">+E68+F68+G68</f>
        <v>2000</v>
      </c>
    </row>
    <row r="69" customFormat="false" ht="18" hidden="false" customHeight="true" outlineLevel="0" collapsed="false">
      <c r="A69" s="5" t="s">
        <v>173</v>
      </c>
      <c r="B69" s="6" t="n">
        <v>46093</v>
      </c>
      <c r="C69" s="43" t="s">
        <v>227</v>
      </c>
      <c r="D69" s="7" t="s">
        <v>139</v>
      </c>
      <c r="E69" s="47" t="n">
        <v>12615.64</v>
      </c>
      <c r="F69" s="47" t="n">
        <f aca="false">+E69*18%</f>
        <v>2270.8152</v>
      </c>
      <c r="G69" s="47" t="n">
        <f aca="false">+F69*5%</f>
        <v>113.54076</v>
      </c>
      <c r="H69" s="47" t="n">
        <f aca="false">+E69+F69+G69</f>
        <v>14999.99596</v>
      </c>
    </row>
    <row r="70" customFormat="false" ht="18" hidden="false" customHeight="true" outlineLevel="0" collapsed="false">
      <c r="A70" s="5" t="s">
        <v>228</v>
      </c>
      <c r="B70" s="6" t="n">
        <v>46094</v>
      </c>
      <c r="C70" s="43" t="s">
        <v>229</v>
      </c>
      <c r="D70" s="7" t="s">
        <v>221</v>
      </c>
      <c r="E70" s="47" t="n">
        <v>40000</v>
      </c>
      <c r="F70" s="47"/>
      <c r="G70" s="47"/>
      <c r="H70" s="47" t="n">
        <f aca="false">+E70+F70+G70</f>
        <v>40000</v>
      </c>
    </row>
    <row r="71" customFormat="false" ht="18" hidden="false" customHeight="true" outlineLevel="0" collapsed="false">
      <c r="A71" s="5" t="s">
        <v>146</v>
      </c>
      <c r="B71" s="6" t="n">
        <v>46098</v>
      </c>
      <c r="C71" s="5" t="s">
        <v>230</v>
      </c>
      <c r="D71" s="7" t="s">
        <v>212</v>
      </c>
      <c r="E71" s="47" t="n">
        <v>2000</v>
      </c>
      <c r="F71" s="47"/>
      <c r="G71" s="47"/>
      <c r="H71" s="47" t="n">
        <f aca="false">+E71+F71+G71</f>
        <v>2000</v>
      </c>
    </row>
    <row r="72" customFormat="false" ht="18" hidden="false" customHeight="true" outlineLevel="0" collapsed="false">
      <c r="A72" s="5" t="s">
        <v>217</v>
      </c>
      <c r="B72" s="6" t="n">
        <v>46101</v>
      </c>
      <c r="C72" s="5" t="s">
        <v>231</v>
      </c>
      <c r="D72" s="7" t="s">
        <v>232</v>
      </c>
      <c r="E72" s="47" t="n">
        <v>90000</v>
      </c>
      <c r="F72" s="47"/>
      <c r="G72" s="47"/>
      <c r="H72" s="47" t="n">
        <f aca="false">+E72+F72+G72</f>
        <v>90000</v>
      </c>
    </row>
    <row r="73" customFormat="false" ht="18" hidden="false" customHeight="true" outlineLevel="0" collapsed="false">
      <c r="A73" s="5" t="s">
        <v>217</v>
      </c>
      <c r="B73" s="6" t="n">
        <v>46101</v>
      </c>
      <c r="C73" s="5" t="s">
        <v>233</v>
      </c>
      <c r="D73" s="7" t="s">
        <v>203</v>
      </c>
      <c r="E73" s="47" t="n">
        <v>5000</v>
      </c>
      <c r="F73" s="47"/>
      <c r="G73" s="47"/>
      <c r="H73" s="47" t="n">
        <f aca="false">+E73+F73+G73</f>
        <v>5000</v>
      </c>
    </row>
    <row r="74" customFormat="false" ht="18" hidden="false" customHeight="true" outlineLevel="0" collapsed="false">
      <c r="A74" s="5" t="s">
        <v>128</v>
      </c>
      <c r="B74" s="6" t="n">
        <v>46108</v>
      </c>
      <c r="C74" s="5" t="s">
        <v>234</v>
      </c>
      <c r="D74" s="7" t="s">
        <v>221</v>
      </c>
      <c r="E74" s="51" t="n">
        <v>6000</v>
      </c>
      <c r="F74" s="7"/>
      <c r="G74" s="7"/>
      <c r="H74" s="47" t="n">
        <f aca="false">+E74+F74+G74</f>
        <v>6000</v>
      </c>
    </row>
    <row r="75" customFormat="false" ht="18" hidden="false" customHeight="true" outlineLevel="0" collapsed="false">
      <c r="A75" s="5"/>
      <c r="B75" s="8"/>
      <c r="C75" s="5"/>
      <c r="D75" s="7"/>
      <c r="E75" s="52" t="n">
        <f aca="false">SUM(E2:E74)</f>
        <v>2700762.92</v>
      </c>
      <c r="F75" s="52" t="n">
        <f aca="false">SUM(F2:F74)</f>
        <v>21269.3256</v>
      </c>
      <c r="G75" s="52" t="n">
        <f aca="false">SUM(G2:G74)</f>
        <v>1063.46628</v>
      </c>
      <c r="H75" s="52" t="n">
        <f aca="false">SUM(H2:H74)</f>
        <v>2724095.71188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H75"/>
  <conditionalFormatting sqref="A2:A5 A9 A11 A13:A21 A23:A25 A7 A32">
    <cfRule type="containsText" priority="2" operator="containsText" aboveAverage="0" equalAverage="0" bottom="0" percent="0" rank="0" text="Autres charges" dxfId="6">
      <formula>NOT(ISERROR(SEARCH("Autres charges",A2)))</formula>
    </cfRule>
    <cfRule type="containsText" priority="3" operator="containsText" aboveAverage="0" equalAverage="0" bottom="0" percent="0" rank="0" text="Maintenance-Travaux" dxfId="7">
      <formula>NOT(ISERROR(SEARCH("Maintenance-Travaux",A2)))</formula>
    </cfRule>
    <cfRule type="containsText" priority="4" operator="containsText" aboveAverage="0" equalAverage="0" bottom="0" percent="0" rank="0" text="Ventes" dxfId="8">
      <formula>NOT(ISERROR(SEARCH("Ventes",A2)))</formula>
    </cfRule>
    <cfRule type="containsText" priority="5" operator="containsText" aboveAverage="0" equalAverage="0" bottom="0" percent="0" rank="0" text="Electricité-Eau" dxfId="9">
      <formula>NOT(ISERROR(SEARCH("Electricité-Eau",A2)))</formula>
    </cfRule>
    <cfRule type="containsText" priority="6" operator="containsText" aboveAverage="0" equalAverage="0" bottom="0" percent="0" rank="0" text="Transport" dxfId="10">
      <formula>NOT(ISERROR(SEARCH("Transport",A2)))</formula>
    </cfRule>
    <cfRule type="containsText" priority="7" operator="containsText" aboveAverage="0" equalAverage="0" bottom="0" percent="0" rank="0" text="Internet" dxfId="11">
      <formula>NOT(ISERROR(SEARCH("Internet",A2)))</formula>
    </cfRule>
    <cfRule type="containsText" priority="8" operator="containsText" aboveAverage="0" equalAverage="0" bottom="0" percent="0" rank="0" text="Fourniture bureau" dxfId="12">
      <formula>NOT(ISERROR(SEARCH("Fourniture bureau",A2)))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2026-05-07T10:32:59Z</dcterms:created>
  <dc:creator>LENOVO</dc:creator>
  <dc:description/>
  <dc:language>fr-FR</dc:language>
  <cp:lastModifiedBy/>
  <dcterms:modified xsi:type="dcterms:W3CDTF">2026-05-19T11:27:21Z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